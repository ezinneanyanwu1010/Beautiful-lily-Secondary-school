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745B4F5D8473E394/Documents/"/>
    </mc:Choice>
  </mc:AlternateContent>
  <xr:revisionPtr revIDLastSave="0" documentId="8_{546F62A6-27A9-478A-ACD2-B8FADE64CDBA}" xr6:coauthVersionLast="47" xr6:coauthVersionMax="47" xr10:uidLastSave="{00000000-0000-0000-0000-000000000000}"/>
  <bookViews>
    <workbookView xWindow="-110" yWindow="-110" windowWidth="19420" windowHeight="10560" activeTab="2" xr2:uid="{42F891E1-CCC3-435C-AB4E-B7305E97A481}"/>
  </bookViews>
  <sheets>
    <sheet name="Sales order" sheetId="1" r:id="rId1"/>
    <sheet name="pivot table" sheetId="2" r:id="rId2"/>
    <sheet name="Sheet1" sheetId="3" r:id="rId3"/>
  </sheets>
  <definedNames>
    <definedName name="Slicer_Country">#N/A</definedName>
    <definedName name="Slicer_Product">#N/A</definedName>
    <definedName name="Slicer_Product1">#N/A</definedName>
    <definedName name="Slicer_Sales_Valu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6" i="1" l="1"/>
  <c r="H3" i="1"/>
  <c r="H4" i="1"/>
  <c r="H5" i="1"/>
  <c r="H6" i="1"/>
  <c r="H7" i="1"/>
  <c r="H8" i="1"/>
  <c r="H9" i="1"/>
  <c r="H10" i="1"/>
  <c r="H11" i="1"/>
  <c r="G18" i="1" s="1"/>
  <c r="H12" i="1"/>
  <c r="H13" i="1"/>
  <c r="H2" i="1"/>
  <c r="G17" i="1" l="1"/>
</calcChain>
</file>

<file path=xl/sharedStrings.xml><?xml version="1.0" encoding="utf-8"?>
<sst xmlns="http://schemas.openxmlformats.org/spreadsheetml/2006/main" count="99" uniqueCount="42">
  <si>
    <t>Order ID</t>
  </si>
  <si>
    <t>Customer</t>
  </si>
  <si>
    <t>Country</t>
  </si>
  <si>
    <t>Product</t>
  </si>
  <si>
    <t>Qty</t>
  </si>
  <si>
    <t>Unit Price</t>
  </si>
  <si>
    <t>Status</t>
  </si>
  <si>
    <t>ORD001</t>
  </si>
  <si>
    <t>Grace</t>
  </si>
  <si>
    <t>Nigeria</t>
  </si>
  <si>
    <t>Laptop</t>
  </si>
  <si>
    <t>Complete</t>
  </si>
  <si>
    <t>ORD002</t>
  </si>
  <si>
    <t>John</t>
  </si>
  <si>
    <t>Ghana</t>
  </si>
  <si>
    <t>Mouse</t>
  </si>
  <si>
    <t>Pending</t>
  </si>
  <si>
    <t>ORD003</t>
  </si>
  <si>
    <t>Mary</t>
  </si>
  <si>
    <t>Keyboard</t>
  </si>
  <si>
    <t>ORD004</t>
  </si>
  <si>
    <t>Peter</t>
  </si>
  <si>
    <t>Kenya</t>
  </si>
  <si>
    <t>Cancelled</t>
  </si>
  <si>
    <t>ORD005</t>
  </si>
  <si>
    <t>ORD006</t>
  </si>
  <si>
    <t>Amina</t>
  </si>
  <si>
    <t>Monitor</t>
  </si>
  <si>
    <t>ORD007</t>
  </si>
  <si>
    <t>ORD008</t>
  </si>
  <si>
    <t>ORD009</t>
  </si>
  <si>
    <t>ORD010</t>
  </si>
  <si>
    <t>ORD011</t>
  </si>
  <si>
    <t>ORD012</t>
  </si>
  <si>
    <t>Sales Value</t>
  </si>
  <si>
    <t>completed order</t>
  </si>
  <si>
    <t>total sales value</t>
  </si>
  <si>
    <t>total sales for complete orders</t>
  </si>
  <si>
    <t>Grand Total</t>
  </si>
  <si>
    <t>Sales Value1</t>
  </si>
  <si>
    <t>Sum of Unit Price</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</si>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</sst>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6" x14ac:knownFonts="1">
    <font>
      <sz val="11"/>
      <color theme="1"/>
      <name val="Calibri"/>
      <family val="2"/>
      <scheme val="minor"/>
    </font>
    <font>
      <sz val="11"/>
      <color theme="1"/>
      <name val="Calibri"/>
      <family val="2"/>
      <scheme val="minor"/>
    </font>
    <font>
      <b/>
      <sz val="11"/>
      <color theme="1"/>
      <name val="Calibri"/>
      <family val="2"/>
      <scheme val="minor"/>
    </font>
    <font>
      <b/>
      <sz val="14"/>
      <color theme="3"/>
      <name val="Calibri"/>
      <family val="2"/>
      <scheme val="minor"/>
    </font>
    <font>
      <sz val="14"/>
      <color theme="0"/>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8">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44" fontId="2" fillId="0" borderId="0" xfId="1" applyFont="1" applyAlignment="1">
      <alignment horizontal="center" vertical="center" wrapText="1"/>
    </xf>
    <xf numFmtId="44" fontId="0" fillId="0" borderId="0" xfId="1" applyFont="1" applyAlignment="1">
      <alignment vertical="center" wrapText="1"/>
    </xf>
    <xf numFmtId="44" fontId="0" fillId="0" borderId="0" xfId="1" applyFont="1"/>
    <xf numFmtId="0"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44" fontId="3" fillId="2" borderId="1" xfId="1" applyFont="1" applyFill="1" applyBorder="1"/>
    <xf numFmtId="44" fontId="3" fillId="2" borderId="3" xfId="1" applyFont="1" applyFill="1" applyBorder="1"/>
    <xf numFmtId="44" fontId="3" fillId="2" borderId="5" xfId="1" applyFont="1" applyFill="1" applyBorder="1"/>
    <xf numFmtId="0" fontId="0" fillId="3" borderId="2" xfId="0" applyFill="1" applyBorder="1"/>
    <xf numFmtId="44" fontId="0" fillId="3" borderId="4" xfId="0" applyNumberFormat="1" applyFill="1" applyBorder="1"/>
    <xf numFmtId="0" fontId="0" fillId="3" borderId="6" xfId="0" applyFill="1" applyBorder="1"/>
    <xf numFmtId="0" fontId="4" fillId="4" borderId="0" xfId="0" applyFont="1" applyFill="1"/>
    <xf numFmtId="0" fontId="5" fillId="0" borderId="0" xfId="0" applyFont="1"/>
  </cellXfs>
  <cellStyles count="2">
    <cellStyle name="Currency" xfId="1" builtinId="4"/>
    <cellStyle name="Normal" xfId="0" builtinId="0"/>
  </cellStyles>
  <dxfs count="26">
    <dxf>
      <font>
        <sz val="14"/>
      </font>
    </dxf>
    <dxf>
      <font>
        <sz val="14"/>
      </font>
    </dxf>
    <dxf>
      <font>
        <sz val="12"/>
      </font>
    </dxf>
    <dxf>
      <font>
        <sz val="12"/>
      </font>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dxf>
    <dxf>
      <font>
        <color theme="0"/>
      </font>
    </dxf>
    <dxf>
      <fill>
        <patternFill patternType="solid">
          <bgColor theme="4" tint="-0.249977111117893"/>
        </patternFill>
      </fill>
    </dxf>
    <dxf>
      <fill>
        <patternFill patternType="solid">
          <bgColor theme="4" tint="-0.249977111117893"/>
        </patternFill>
      </fill>
    </dxf>
    <dxf>
      <font>
        <sz val="18"/>
      </font>
    </dxf>
    <dxf>
      <font>
        <sz val="12"/>
      </font>
    </dxf>
    <dxf>
      <font>
        <sz val="18"/>
      </font>
    </dxf>
    <dxf>
      <font>
        <sz val="12"/>
      </font>
    </dxf>
    <dxf>
      <font>
        <b val="0"/>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600"/>
              <a:t>Sales Value </a:t>
            </a:r>
          </a:p>
        </c:rich>
      </c:tx>
      <c:layout>
        <c:manualLayout>
          <c:xMode val="edge"/>
          <c:yMode val="edge"/>
          <c:x val="0.51170122484689418"/>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7447770485000055"/>
          <c:y val="0.1228240740740741"/>
          <c:w val="0.76849039501130323"/>
          <c:h val="0.76606481481481481"/>
        </c:manualLayout>
      </c:layout>
      <c:scatterChart>
        <c:scatterStyle val="smoothMarker"/>
        <c:varyColors val="0"/>
        <c:ser>
          <c:idx val="0"/>
          <c:order val="0"/>
          <c:tx>
            <c:strRef>
              <c:f>'Sales order'!$H$1</c:f>
              <c:strCache>
                <c:ptCount val="1"/>
                <c:pt idx="0">
                  <c:v> Sales Value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multiLvlStrRef>
              <c:f>'Sales order'!$A$2:$G$13</c:f>
              <c:multiLvlStrCache>
                <c:ptCount val="12"/>
                <c:lvl>
                  <c:pt idx="0">
                    <c:v>Complete</c:v>
                  </c:pt>
                  <c:pt idx="1">
                    <c:v>Pending</c:v>
                  </c:pt>
                  <c:pt idx="2">
                    <c:v>Complete</c:v>
                  </c:pt>
                  <c:pt idx="3">
                    <c:v>Cancelled</c:v>
                  </c:pt>
                  <c:pt idx="4">
                    <c:v>Complete</c:v>
                  </c:pt>
                  <c:pt idx="5">
                    <c:v>Pending</c:v>
                  </c:pt>
                  <c:pt idx="6">
                    <c:v>Complete</c:v>
                  </c:pt>
                  <c:pt idx="7">
                    <c:v>Complete</c:v>
                  </c:pt>
                  <c:pt idx="8">
                    <c:v>Pending</c:v>
                  </c:pt>
                  <c:pt idx="9">
                    <c:v>Complete</c:v>
                  </c:pt>
                  <c:pt idx="10">
                    <c:v>Pending</c:v>
                  </c:pt>
                  <c:pt idx="11">
                    <c:v>Complete</c:v>
                  </c:pt>
                </c:lvl>
                <c:lvl>
                  <c:pt idx="0">
                    <c:v> $250,000.00 </c:v>
                  </c:pt>
                  <c:pt idx="1">
                    <c:v> $8,000.00 </c:v>
                  </c:pt>
                  <c:pt idx="2">
                    <c:v> $15,000.00 </c:v>
                  </c:pt>
                  <c:pt idx="3">
                    <c:v> $250,000.00 </c:v>
                  </c:pt>
                  <c:pt idx="4">
                    <c:v> $8,000.00 </c:v>
                  </c:pt>
                  <c:pt idx="5">
                    <c:v> $95,000.00 </c:v>
                  </c:pt>
                  <c:pt idx="6">
                    <c:v> $15,000.00 </c:v>
                  </c:pt>
                  <c:pt idx="7">
                    <c:v> $250,000.00 </c:v>
                  </c:pt>
                  <c:pt idx="8">
                    <c:v> $8,000.00 </c:v>
                  </c:pt>
                  <c:pt idx="9">
                    <c:v> $95,000.00 </c:v>
                  </c:pt>
                  <c:pt idx="10">
                    <c:v> $15,000.00 </c:v>
                  </c:pt>
                  <c:pt idx="11">
                    <c:v> $250,000.00 </c:v>
                  </c:pt>
                </c:lvl>
                <c:lvl>
                  <c:pt idx="0">
                    <c:v>2</c:v>
                  </c:pt>
                  <c:pt idx="1">
                    <c:v>5</c:v>
                  </c:pt>
                  <c:pt idx="2">
                    <c:v>3</c:v>
                  </c:pt>
                  <c:pt idx="3">
                    <c:v>1</c:v>
                  </c:pt>
                  <c:pt idx="4">
                    <c:v>4</c:v>
                  </c:pt>
                  <c:pt idx="5">
                    <c:v>2</c:v>
                  </c:pt>
                  <c:pt idx="6">
                    <c:v>2</c:v>
                  </c:pt>
                  <c:pt idx="7">
                    <c:v>1</c:v>
                  </c:pt>
                  <c:pt idx="8">
                    <c:v>3</c:v>
                  </c:pt>
                  <c:pt idx="9">
                    <c:v>1</c:v>
                  </c:pt>
                  <c:pt idx="10">
                    <c:v>2</c:v>
                  </c:pt>
                  <c:pt idx="11">
                    <c:v>1</c:v>
                  </c:pt>
                </c:lvl>
                <c:lvl>
                  <c:pt idx="0">
                    <c:v>Laptop</c:v>
                  </c:pt>
                  <c:pt idx="1">
                    <c:v>Mouse</c:v>
                  </c:pt>
                  <c:pt idx="2">
                    <c:v>Keyboard</c:v>
                  </c:pt>
                  <c:pt idx="3">
                    <c:v>Laptop</c:v>
                  </c:pt>
                  <c:pt idx="4">
                    <c:v>Mouse</c:v>
                  </c:pt>
                  <c:pt idx="5">
                    <c:v>Monitor</c:v>
                  </c:pt>
                  <c:pt idx="6">
                    <c:v>Keyboard</c:v>
                  </c:pt>
                  <c:pt idx="7">
                    <c:v>Laptop</c:v>
                  </c:pt>
                  <c:pt idx="8">
                    <c:v>Mouse</c:v>
                  </c:pt>
                  <c:pt idx="9">
                    <c:v>Monitor</c:v>
                  </c:pt>
                  <c:pt idx="10">
                    <c:v>Keyboard</c:v>
                  </c:pt>
                  <c:pt idx="11">
                    <c:v>Laptop</c:v>
                  </c:pt>
                </c:lvl>
                <c:lvl>
                  <c:pt idx="0">
                    <c:v>Nigeria</c:v>
                  </c:pt>
                  <c:pt idx="1">
                    <c:v>Ghana</c:v>
                  </c:pt>
                  <c:pt idx="2">
                    <c:v>Nigeria</c:v>
                  </c:pt>
                  <c:pt idx="3">
                    <c:v>Kenya</c:v>
                  </c:pt>
                  <c:pt idx="4">
                    <c:v>Nigeria</c:v>
                  </c:pt>
                  <c:pt idx="5">
                    <c:v>Ghana</c:v>
                  </c:pt>
                  <c:pt idx="6">
                    <c:v>Ghana</c:v>
                  </c:pt>
                  <c:pt idx="7">
                    <c:v>Nigeria</c:v>
                  </c:pt>
                  <c:pt idx="8">
                    <c:v>Kenya</c:v>
                  </c:pt>
                  <c:pt idx="9">
                    <c:v>Ghana</c:v>
                  </c:pt>
                  <c:pt idx="10">
                    <c:v>Nigeria</c:v>
                  </c:pt>
                  <c:pt idx="11">
                    <c:v>Ghana</c:v>
                  </c:pt>
                </c:lvl>
                <c:lvl>
                  <c:pt idx="0">
                    <c:v>Grace</c:v>
                  </c:pt>
                  <c:pt idx="1">
                    <c:v>John</c:v>
                  </c:pt>
                  <c:pt idx="2">
                    <c:v>Mary</c:v>
                  </c:pt>
                  <c:pt idx="3">
                    <c:v>Peter</c:v>
                  </c:pt>
                  <c:pt idx="4">
                    <c:v>Grace</c:v>
                  </c:pt>
                  <c:pt idx="5">
                    <c:v>Amina</c:v>
                  </c:pt>
                  <c:pt idx="6">
                    <c:v>John</c:v>
                  </c:pt>
                  <c:pt idx="7">
                    <c:v>Mary</c:v>
                  </c:pt>
                  <c:pt idx="8">
                    <c:v>Peter</c:v>
                  </c:pt>
                  <c:pt idx="9">
                    <c:v>Amina</c:v>
                  </c:pt>
                  <c:pt idx="10">
                    <c:v>Grace</c:v>
                  </c:pt>
                  <c:pt idx="11">
                    <c:v>John</c:v>
                  </c:pt>
                </c:lvl>
                <c:lvl>
                  <c:pt idx="0">
                    <c:v>ORD001</c:v>
                  </c:pt>
                  <c:pt idx="1">
                    <c:v>ORD002</c:v>
                  </c:pt>
                  <c:pt idx="2">
                    <c:v>ORD003</c:v>
                  </c:pt>
                  <c:pt idx="3">
                    <c:v>ORD004</c:v>
                  </c:pt>
                  <c:pt idx="4">
                    <c:v>ORD005</c:v>
                  </c:pt>
                  <c:pt idx="5">
                    <c:v>ORD006</c:v>
                  </c:pt>
                  <c:pt idx="6">
                    <c:v>ORD007</c:v>
                  </c:pt>
                  <c:pt idx="7">
                    <c:v>ORD008</c:v>
                  </c:pt>
                  <c:pt idx="8">
                    <c:v>ORD009</c:v>
                  </c:pt>
                  <c:pt idx="9">
                    <c:v>ORD010</c:v>
                  </c:pt>
                  <c:pt idx="10">
                    <c:v>ORD011</c:v>
                  </c:pt>
                  <c:pt idx="11">
                    <c:v>ORD012</c:v>
                  </c:pt>
                </c:lvl>
              </c:multiLvlStrCache>
            </c:multiLvlStrRef>
          </c:xVal>
          <c:yVal>
            <c:numRef>
              <c:f>'Sales order'!$H$2:$H$13</c:f>
              <c:numCache>
                <c:formatCode>_("$"* #,##0.00_);_("$"* \(#,##0.00\);_("$"* "-"??_);_(@_)</c:formatCode>
                <c:ptCount val="12"/>
                <c:pt idx="0">
                  <c:v>500000</c:v>
                </c:pt>
                <c:pt idx="1">
                  <c:v>40000</c:v>
                </c:pt>
                <c:pt idx="2">
                  <c:v>45000</c:v>
                </c:pt>
                <c:pt idx="3">
                  <c:v>250000</c:v>
                </c:pt>
                <c:pt idx="4">
                  <c:v>32000</c:v>
                </c:pt>
                <c:pt idx="5">
                  <c:v>190000</c:v>
                </c:pt>
                <c:pt idx="6">
                  <c:v>30000</c:v>
                </c:pt>
                <c:pt idx="7">
                  <c:v>250000</c:v>
                </c:pt>
                <c:pt idx="8">
                  <c:v>24000</c:v>
                </c:pt>
                <c:pt idx="9">
                  <c:v>95000</c:v>
                </c:pt>
                <c:pt idx="10">
                  <c:v>30000</c:v>
                </c:pt>
                <c:pt idx="11">
                  <c:v>250000</c:v>
                </c:pt>
              </c:numCache>
            </c:numRef>
          </c:yVal>
          <c:smooth val="1"/>
          <c:extLst>
            <c:ext xmlns:c16="http://schemas.microsoft.com/office/drawing/2014/chart" uri="{C3380CC4-5D6E-409C-BE32-E72D297353CC}">
              <c16:uniqueId val="{00000000-A4DC-48C2-8817-C2B2C26E5D7F}"/>
            </c:ext>
          </c:extLst>
        </c:ser>
        <c:dLbls>
          <c:showLegendKey val="0"/>
          <c:showVal val="0"/>
          <c:showCatName val="0"/>
          <c:showSerName val="0"/>
          <c:showPercent val="0"/>
          <c:showBubbleSize val="0"/>
        </c:dLbls>
        <c:axId val="636344832"/>
        <c:axId val="636345248"/>
      </c:scatterChart>
      <c:valAx>
        <c:axId val="636344832"/>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45248"/>
        <c:crosses val="autoZero"/>
        <c:crossBetween val="midCat"/>
      </c:valAx>
      <c:valAx>
        <c:axId val="636345248"/>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344832"/>
        <c:crosses val="autoZero"/>
        <c:crossBetween val="midCat"/>
      </c:valAx>
      <c:spPr>
        <a:noFill/>
        <a:ln>
          <a:noFill/>
        </a:ln>
        <a:effectLst>
          <a:outerShdw blurRad="50800" dist="50800" dir="5400000" algn="ctr" rotWithShape="0">
            <a:schemeClr val="tx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pct75">
      <a:fgClr>
        <a:schemeClr val="accent1">
          <a:lumMod val="20000"/>
          <a:lumOff val="80000"/>
        </a:schemeClr>
      </a:fgClr>
      <a:bgClr>
        <a:schemeClr val="accent1">
          <a:lumMod val="75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order'!$H$1</c:f>
              <c:strCache>
                <c:ptCount val="1"/>
                <c:pt idx="0">
                  <c:v> Sales Value </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38-46D0-95DB-4D2188B8489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38-46D0-95DB-4D2188B8489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38-46D0-95DB-4D2188B8489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38-46D0-95DB-4D2188B8489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638-46D0-95DB-4D2188B8489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638-46D0-95DB-4D2188B8489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638-46D0-95DB-4D2188B8489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638-46D0-95DB-4D2188B8489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638-46D0-95DB-4D2188B8489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638-46D0-95DB-4D2188B8489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638-46D0-95DB-4D2188B8489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8638-46D0-95DB-4D2188B848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'Sales order'!$A$2:$G$13</c:f>
              <c:multiLvlStrCache>
                <c:ptCount val="12"/>
                <c:lvl>
                  <c:pt idx="0">
                    <c:v>Complete</c:v>
                  </c:pt>
                  <c:pt idx="1">
                    <c:v>Pending</c:v>
                  </c:pt>
                  <c:pt idx="2">
                    <c:v>Complete</c:v>
                  </c:pt>
                  <c:pt idx="3">
                    <c:v>Cancelled</c:v>
                  </c:pt>
                  <c:pt idx="4">
                    <c:v>Complete</c:v>
                  </c:pt>
                  <c:pt idx="5">
                    <c:v>Pending</c:v>
                  </c:pt>
                  <c:pt idx="6">
                    <c:v>Complete</c:v>
                  </c:pt>
                  <c:pt idx="7">
                    <c:v>Complete</c:v>
                  </c:pt>
                  <c:pt idx="8">
                    <c:v>Pending</c:v>
                  </c:pt>
                  <c:pt idx="9">
                    <c:v>Complete</c:v>
                  </c:pt>
                  <c:pt idx="10">
                    <c:v>Pending</c:v>
                  </c:pt>
                  <c:pt idx="11">
                    <c:v>Complete</c:v>
                  </c:pt>
                </c:lvl>
                <c:lvl>
                  <c:pt idx="0">
                    <c:v> $250,000.00 </c:v>
                  </c:pt>
                  <c:pt idx="1">
                    <c:v> $8,000.00 </c:v>
                  </c:pt>
                  <c:pt idx="2">
                    <c:v> $15,000.00 </c:v>
                  </c:pt>
                  <c:pt idx="3">
                    <c:v> $250,000.00 </c:v>
                  </c:pt>
                  <c:pt idx="4">
                    <c:v> $8,000.00 </c:v>
                  </c:pt>
                  <c:pt idx="5">
                    <c:v> $95,000.00 </c:v>
                  </c:pt>
                  <c:pt idx="6">
                    <c:v> $15,000.00 </c:v>
                  </c:pt>
                  <c:pt idx="7">
                    <c:v> $250,000.00 </c:v>
                  </c:pt>
                  <c:pt idx="8">
                    <c:v> $8,000.00 </c:v>
                  </c:pt>
                  <c:pt idx="9">
                    <c:v> $95,000.00 </c:v>
                  </c:pt>
                  <c:pt idx="10">
                    <c:v> $15,000.00 </c:v>
                  </c:pt>
                  <c:pt idx="11">
                    <c:v> $250,000.00 </c:v>
                  </c:pt>
                </c:lvl>
                <c:lvl>
                  <c:pt idx="0">
                    <c:v>2</c:v>
                  </c:pt>
                  <c:pt idx="1">
                    <c:v>5</c:v>
                  </c:pt>
                  <c:pt idx="2">
                    <c:v>3</c:v>
                  </c:pt>
                  <c:pt idx="3">
                    <c:v>1</c:v>
                  </c:pt>
                  <c:pt idx="4">
                    <c:v>4</c:v>
                  </c:pt>
                  <c:pt idx="5">
                    <c:v>2</c:v>
                  </c:pt>
                  <c:pt idx="6">
                    <c:v>2</c:v>
                  </c:pt>
                  <c:pt idx="7">
                    <c:v>1</c:v>
                  </c:pt>
                  <c:pt idx="8">
                    <c:v>3</c:v>
                  </c:pt>
                  <c:pt idx="9">
                    <c:v>1</c:v>
                  </c:pt>
                  <c:pt idx="10">
                    <c:v>2</c:v>
                  </c:pt>
                  <c:pt idx="11">
                    <c:v>1</c:v>
                  </c:pt>
                </c:lvl>
                <c:lvl>
                  <c:pt idx="0">
                    <c:v>Laptop</c:v>
                  </c:pt>
                  <c:pt idx="1">
                    <c:v>Mouse</c:v>
                  </c:pt>
                  <c:pt idx="2">
                    <c:v>Keyboard</c:v>
                  </c:pt>
                  <c:pt idx="3">
                    <c:v>Laptop</c:v>
                  </c:pt>
                  <c:pt idx="4">
                    <c:v>Mouse</c:v>
                  </c:pt>
                  <c:pt idx="5">
                    <c:v>Monitor</c:v>
                  </c:pt>
                  <c:pt idx="6">
                    <c:v>Keyboard</c:v>
                  </c:pt>
                  <c:pt idx="7">
                    <c:v>Laptop</c:v>
                  </c:pt>
                  <c:pt idx="8">
                    <c:v>Mouse</c:v>
                  </c:pt>
                  <c:pt idx="9">
                    <c:v>Monitor</c:v>
                  </c:pt>
                  <c:pt idx="10">
                    <c:v>Keyboard</c:v>
                  </c:pt>
                  <c:pt idx="11">
                    <c:v>Laptop</c:v>
                  </c:pt>
                </c:lvl>
                <c:lvl>
                  <c:pt idx="0">
                    <c:v>Nigeria</c:v>
                  </c:pt>
                  <c:pt idx="1">
                    <c:v>Ghana</c:v>
                  </c:pt>
                  <c:pt idx="2">
                    <c:v>Nigeria</c:v>
                  </c:pt>
                  <c:pt idx="3">
                    <c:v>Kenya</c:v>
                  </c:pt>
                  <c:pt idx="4">
                    <c:v>Nigeria</c:v>
                  </c:pt>
                  <c:pt idx="5">
                    <c:v>Ghana</c:v>
                  </c:pt>
                  <c:pt idx="6">
                    <c:v>Ghana</c:v>
                  </c:pt>
                  <c:pt idx="7">
                    <c:v>Nigeria</c:v>
                  </c:pt>
                  <c:pt idx="8">
                    <c:v>Kenya</c:v>
                  </c:pt>
                  <c:pt idx="9">
                    <c:v>Ghana</c:v>
                  </c:pt>
                  <c:pt idx="10">
                    <c:v>Nigeria</c:v>
                  </c:pt>
                  <c:pt idx="11">
                    <c:v>Ghana</c:v>
                  </c:pt>
                </c:lvl>
                <c:lvl>
                  <c:pt idx="0">
                    <c:v>Grace</c:v>
                  </c:pt>
                  <c:pt idx="1">
                    <c:v>John</c:v>
                  </c:pt>
                  <c:pt idx="2">
                    <c:v>Mary</c:v>
                  </c:pt>
                  <c:pt idx="3">
                    <c:v>Peter</c:v>
                  </c:pt>
                  <c:pt idx="4">
                    <c:v>Grace</c:v>
                  </c:pt>
                  <c:pt idx="5">
                    <c:v>Amina</c:v>
                  </c:pt>
                  <c:pt idx="6">
                    <c:v>John</c:v>
                  </c:pt>
                  <c:pt idx="7">
                    <c:v>Mary</c:v>
                  </c:pt>
                  <c:pt idx="8">
                    <c:v>Peter</c:v>
                  </c:pt>
                  <c:pt idx="9">
                    <c:v>Amina</c:v>
                  </c:pt>
                  <c:pt idx="10">
                    <c:v>Grace</c:v>
                  </c:pt>
                  <c:pt idx="11">
                    <c:v>John</c:v>
                  </c:pt>
                </c:lvl>
                <c:lvl>
                  <c:pt idx="0">
                    <c:v>ORD001</c:v>
                  </c:pt>
                  <c:pt idx="1">
                    <c:v>ORD002</c:v>
                  </c:pt>
                  <c:pt idx="2">
                    <c:v>ORD003</c:v>
                  </c:pt>
                  <c:pt idx="3">
                    <c:v>ORD004</c:v>
                  </c:pt>
                  <c:pt idx="4">
                    <c:v>ORD005</c:v>
                  </c:pt>
                  <c:pt idx="5">
                    <c:v>ORD006</c:v>
                  </c:pt>
                  <c:pt idx="6">
                    <c:v>ORD007</c:v>
                  </c:pt>
                  <c:pt idx="7">
                    <c:v>ORD008</c:v>
                  </c:pt>
                  <c:pt idx="8">
                    <c:v>ORD009</c:v>
                  </c:pt>
                  <c:pt idx="9">
                    <c:v>ORD010</c:v>
                  </c:pt>
                  <c:pt idx="10">
                    <c:v>ORD011</c:v>
                  </c:pt>
                  <c:pt idx="11">
                    <c:v>ORD012</c:v>
                  </c:pt>
                </c:lvl>
              </c:multiLvlStrCache>
            </c:multiLvlStrRef>
          </c:cat>
          <c:val>
            <c:numRef>
              <c:f>'Sales order'!$H$2:$H$13</c:f>
              <c:numCache>
                <c:formatCode>_("$"* #,##0.00_);_("$"* \(#,##0.00\);_("$"* "-"??_);_(@_)</c:formatCode>
                <c:ptCount val="12"/>
                <c:pt idx="0">
                  <c:v>500000</c:v>
                </c:pt>
                <c:pt idx="1">
                  <c:v>40000</c:v>
                </c:pt>
                <c:pt idx="2">
                  <c:v>45000</c:v>
                </c:pt>
                <c:pt idx="3">
                  <c:v>250000</c:v>
                </c:pt>
                <c:pt idx="4">
                  <c:v>32000</c:v>
                </c:pt>
                <c:pt idx="5">
                  <c:v>190000</c:v>
                </c:pt>
                <c:pt idx="6">
                  <c:v>30000</c:v>
                </c:pt>
                <c:pt idx="7">
                  <c:v>250000</c:v>
                </c:pt>
                <c:pt idx="8">
                  <c:v>24000</c:v>
                </c:pt>
                <c:pt idx="9">
                  <c:v>95000</c:v>
                </c:pt>
                <c:pt idx="10">
                  <c:v>30000</c:v>
                </c:pt>
                <c:pt idx="11">
                  <c:v>250000</c:v>
                </c:pt>
              </c:numCache>
            </c:numRef>
          </c:val>
          <c:extLst>
            <c:ext xmlns:c16="http://schemas.microsoft.com/office/drawing/2014/chart" uri="{C3380CC4-5D6E-409C-BE32-E72D297353CC}">
              <c16:uniqueId val="{00000018-8638-46D0-95DB-4D2188B8489B}"/>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xdr:col>
      <xdr:colOff>603250</xdr:colOff>
      <xdr:row>4</xdr:row>
      <xdr:rowOff>44450</xdr:rowOff>
    </xdr:from>
    <xdr:to>
      <xdr:col>6</xdr:col>
      <xdr:colOff>488950</xdr:colOff>
      <xdr:row>17</xdr:row>
      <xdr:rowOff>66675</xdr:rowOff>
    </xdr:to>
    <mc:AlternateContent xmlns:mc="http://schemas.openxmlformats.org/markup-compatibility/2006">
      <mc:Choice xmlns:sle15="http://schemas.microsoft.com/office/drawing/2012/slicer" Requires="sle15">
        <xdr:graphicFrame macro="">
          <xdr:nvGraphicFramePr>
            <xdr:cNvPr id="6" name="Product 1">
              <a:extLst>
                <a:ext uri="{FF2B5EF4-FFF2-40B4-BE49-F238E27FC236}">
                  <a16:creationId xmlns:a16="http://schemas.microsoft.com/office/drawing/2014/main" id="{BA50A3C8-26DE-4C07-BD8F-7231F07E278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080000" y="781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1079500</xdr:colOff>
      <xdr:row>6</xdr:row>
      <xdr:rowOff>152400</xdr:rowOff>
    </xdr:from>
    <xdr:to>
      <xdr:col>7</xdr:col>
      <xdr:colOff>12700</xdr:colOff>
      <xdr:row>19</xdr:row>
      <xdr:rowOff>117475</xdr:rowOff>
    </xdr:to>
    <mc:AlternateContent xmlns:mc="http://schemas.openxmlformats.org/markup-compatibility/2006">
      <mc:Choice xmlns:sle15="http://schemas.microsoft.com/office/drawing/2012/slicer" Requires="sle15">
        <xdr:graphicFrame macro="">
          <xdr:nvGraphicFramePr>
            <xdr:cNvPr id="7" name="Sales Value">
              <a:extLst>
                <a:ext uri="{FF2B5EF4-FFF2-40B4-BE49-F238E27FC236}">
                  <a16:creationId xmlns:a16="http://schemas.microsoft.com/office/drawing/2014/main" id="{139E486E-A71C-4B2E-BEB1-E7F953EFB00F}"/>
                </a:ext>
              </a:extLst>
            </xdr:cNvPr>
            <xdr:cNvGraphicFramePr/>
          </xdr:nvGraphicFramePr>
          <xdr:xfrm>
            <a:off x="0" y="0"/>
            <a:ext cx="0" cy="0"/>
          </xdr:xfrm>
          <a:graphic>
            <a:graphicData uri="http://schemas.microsoft.com/office/drawing/2010/slicer">
              <sle:slicer xmlns:sle="http://schemas.microsoft.com/office/drawing/2010/slicer" name="Sales Value"/>
            </a:graphicData>
          </a:graphic>
        </xdr:graphicFrame>
      </mc:Choice>
      <mc:Fallback>
        <xdr:sp macro="" textlink="">
          <xdr:nvSpPr>
            <xdr:cNvPr id="0" name=""/>
            <xdr:cNvSpPr>
              <a:spLocks noTextEdit="1"/>
            </xdr:cNvSpPr>
          </xdr:nvSpPr>
          <xdr:spPr>
            <a:xfrm>
              <a:off x="5556250" y="1257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1</xdr:rowOff>
    </xdr:from>
    <xdr:to>
      <xdr:col>4</xdr:col>
      <xdr:colOff>82550</xdr:colOff>
      <xdr:row>1</xdr:row>
      <xdr:rowOff>1263650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4C8B3E3-97FE-4E93-B8C1-3690C67EF3C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5400" y="1"/>
              <a:ext cx="8350250" cy="151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6350</xdr:colOff>
      <xdr:row>0</xdr:row>
      <xdr:rowOff>50800</xdr:rowOff>
    </xdr:from>
    <xdr:to>
      <xdr:col>9</xdr:col>
      <xdr:colOff>577850</xdr:colOff>
      <xdr:row>15</xdr:row>
      <xdr:rowOff>158750</xdr:rowOff>
    </xdr:to>
    <xdr:graphicFrame macro="">
      <xdr:nvGraphicFramePr>
        <xdr:cNvPr id="2" name="Chart 1">
          <a:extLst>
            <a:ext uri="{FF2B5EF4-FFF2-40B4-BE49-F238E27FC236}">
              <a16:creationId xmlns:a16="http://schemas.microsoft.com/office/drawing/2014/main" id="{8A8D5D14-1D4A-4D46-92B9-CE7E3B578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31750</xdr:colOff>
      <xdr:row>0</xdr:row>
      <xdr:rowOff>50800</xdr:rowOff>
    </xdr:from>
    <xdr:to>
      <xdr:col>19</xdr:col>
      <xdr:colOff>101600</xdr:colOff>
      <xdr:row>15</xdr:row>
      <xdr:rowOff>165100</xdr:rowOff>
    </xdr:to>
    <xdr:graphicFrame macro="">
      <xdr:nvGraphicFramePr>
        <xdr:cNvPr id="3" name="Chart 2">
          <a:extLst>
            <a:ext uri="{FF2B5EF4-FFF2-40B4-BE49-F238E27FC236}">
              <a16:creationId xmlns:a16="http://schemas.microsoft.com/office/drawing/2014/main" id="{650CEA43-EA6B-4E17-9D10-363249385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0</xdr:col>
      <xdr:colOff>0</xdr:colOff>
      <xdr:row>16</xdr:row>
      <xdr:rowOff>57151</xdr:rowOff>
    </xdr:from>
    <xdr:to>
      <xdr:col>19</xdr:col>
      <xdr:colOff>127000</xdr:colOff>
      <xdr:row>24</xdr:row>
      <xdr:rowOff>19051</xdr:rowOff>
    </xdr:to>
    <mc:AlternateContent xmlns:mc="http://schemas.openxmlformats.org/markup-compatibility/2006">
      <mc:Choice xmlns:sle15="http://schemas.microsoft.com/office/drawing/2012/slicer" Requires="sle15">
        <xdr:graphicFrame macro="">
          <xdr:nvGraphicFramePr>
            <xdr:cNvPr id="4" name="Country">
              <a:extLst>
                <a:ext uri="{FF2B5EF4-FFF2-40B4-BE49-F238E27FC236}">
                  <a16:creationId xmlns:a16="http://schemas.microsoft.com/office/drawing/2014/main" id="{1E63BE77-21B2-499B-AB3F-92F4D91CCE1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3003551"/>
              <a:ext cx="11709400" cy="14351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17.455257407404" createdVersion="7" refreshedVersion="7" minRefreshableVersion="3" recordCount="12" xr:uid="{AA5A69B1-9EE7-49EA-9776-BB5CC3BB5153}">
  <cacheSource type="worksheet">
    <worksheetSource ref="A1:H13" sheet="Sales order"/>
  </cacheSource>
  <cacheFields count="8">
    <cacheField name="Order ID" numFmtId="0">
      <sharedItems/>
    </cacheField>
    <cacheField name="Customer" numFmtId="0">
      <sharedItems count="5">
        <s v="Grace"/>
        <s v="John"/>
        <s v="Mary"/>
        <s v="Peter"/>
        <s v="Amina"/>
      </sharedItems>
    </cacheField>
    <cacheField name="Country" numFmtId="0">
      <sharedItems count="3">
        <s v="Nigeria"/>
        <s v="Ghana"/>
        <s v="Kenya"/>
      </sharedItems>
    </cacheField>
    <cacheField name="Product" numFmtId="0">
      <sharedItems count="4">
        <s v="Laptop"/>
        <s v="Mouse"/>
        <s v="Keyboard"/>
        <s v="Monitor"/>
      </sharedItems>
    </cacheField>
    <cacheField name="Qty" numFmtId="0">
      <sharedItems containsSemiMixedTypes="0" containsString="0" containsNumber="1" containsInteger="1" minValue="1" maxValue="5"/>
    </cacheField>
    <cacheField name="Unit Price" numFmtId="44">
      <sharedItems containsSemiMixedTypes="0" containsString="0" containsNumber="1" containsInteger="1" minValue="8000" maxValue="250000"/>
    </cacheField>
    <cacheField name="Status" numFmtId="0">
      <sharedItems count="3">
        <s v="Complete"/>
        <s v="Pending"/>
        <s v="Cancelled"/>
      </sharedItems>
    </cacheField>
    <cacheField name="Sales Value" numFmtId="44">
      <sharedItems containsSemiMixedTypes="0" containsString="0" containsNumber="1" containsInteger="1" minValue="24000" maxValue="500000"/>
    </cacheField>
  </cacheFields>
  <extLst>
    <ext xmlns:x14="http://schemas.microsoft.com/office/spreadsheetml/2009/9/main" uri="{725AE2AE-9491-48be-B2B4-4EB974FC3084}">
      <x14:pivotCacheDefinition pivotCacheId="1715758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s v="ORD001"/>
    <x v="0"/>
    <x v="0"/>
    <x v="0"/>
    <n v="2"/>
    <n v="250000"/>
    <x v="0"/>
    <n v="500000"/>
  </r>
  <r>
    <s v="ORD002"/>
    <x v="1"/>
    <x v="1"/>
    <x v="1"/>
    <n v="5"/>
    <n v="8000"/>
    <x v="1"/>
    <n v="40000"/>
  </r>
  <r>
    <s v="ORD003"/>
    <x v="2"/>
    <x v="0"/>
    <x v="2"/>
    <n v="3"/>
    <n v="15000"/>
    <x v="0"/>
    <n v="45000"/>
  </r>
  <r>
    <s v="ORD004"/>
    <x v="3"/>
    <x v="2"/>
    <x v="0"/>
    <n v="1"/>
    <n v="250000"/>
    <x v="2"/>
    <n v="250000"/>
  </r>
  <r>
    <s v="ORD005"/>
    <x v="0"/>
    <x v="0"/>
    <x v="1"/>
    <n v="4"/>
    <n v="8000"/>
    <x v="0"/>
    <n v="32000"/>
  </r>
  <r>
    <s v="ORD006"/>
    <x v="4"/>
    <x v="1"/>
    <x v="3"/>
    <n v="2"/>
    <n v="95000"/>
    <x v="1"/>
    <n v="190000"/>
  </r>
  <r>
    <s v="ORD007"/>
    <x v="1"/>
    <x v="1"/>
    <x v="2"/>
    <n v="2"/>
    <n v="15000"/>
    <x v="0"/>
    <n v="30000"/>
  </r>
  <r>
    <s v="ORD008"/>
    <x v="2"/>
    <x v="0"/>
    <x v="0"/>
    <n v="1"/>
    <n v="250000"/>
    <x v="0"/>
    <n v="250000"/>
  </r>
  <r>
    <s v="ORD009"/>
    <x v="3"/>
    <x v="2"/>
    <x v="1"/>
    <n v="3"/>
    <n v="8000"/>
    <x v="1"/>
    <n v="24000"/>
  </r>
  <r>
    <s v="ORD010"/>
    <x v="4"/>
    <x v="1"/>
    <x v="3"/>
    <n v="1"/>
    <n v="95000"/>
    <x v="0"/>
    <n v="95000"/>
  </r>
  <r>
    <s v="ORD011"/>
    <x v="0"/>
    <x v="0"/>
    <x v="2"/>
    <n v="2"/>
    <n v="15000"/>
    <x v="1"/>
    <n v="30000"/>
  </r>
  <r>
    <s v="ORD012"/>
    <x v="1"/>
    <x v="1"/>
    <x v="0"/>
    <n v="1"/>
    <n v="250000"/>
    <x v="0"/>
    <n v="2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7E577-D4AA-4810-B4C6-05BB8FC6253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3:D27" firstHeaderRow="0" firstDataRow="1" firstDataCol="1"/>
  <pivotFields count="8">
    <pivotField showAll="0"/>
    <pivotField axis="axisRow" showAll="0">
      <items count="6">
        <item x="4"/>
        <item x="0"/>
        <item x="1"/>
        <item x="2"/>
        <item x="3"/>
        <item t="default"/>
      </items>
    </pivotField>
    <pivotField axis="axisRow" showAll="0">
      <items count="4">
        <item x="1"/>
        <item x="2"/>
        <item x="0"/>
        <item t="default"/>
      </items>
    </pivotField>
    <pivotField axis="axisRow" showAll="0" sortType="ascending">
      <items count="5">
        <item x="2"/>
        <item x="0"/>
        <item x="3"/>
        <item x="1"/>
        <item t="default"/>
      </items>
    </pivotField>
    <pivotField dataField="1" showAll="0"/>
    <pivotField dataField="1" numFmtId="44" showAll="0"/>
    <pivotField multipleItemSelectionAllowed="1" showAll="0">
      <items count="4">
        <item x="2"/>
        <item x="0"/>
        <item x="1"/>
        <item t="default"/>
      </items>
    </pivotField>
    <pivotField dataField="1" numFmtId="44" showAll="0"/>
  </pivotFields>
  <rowFields count="3">
    <field x="2"/>
    <field x="3"/>
    <field x="1"/>
  </rowFields>
  <rowItems count="24">
    <i>
      <x/>
    </i>
    <i r="1">
      <x/>
    </i>
    <i r="2">
      <x v="2"/>
    </i>
    <i r="1">
      <x v="1"/>
    </i>
    <i r="2">
      <x v="2"/>
    </i>
    <i r="1">
      <x v="2"/>
    </i>
    <i r="2">
      <x/>
    </i>
    <i r="1">
      <x v="3"/>
    </i>
    <i r="2">
      <x v="2"/>
    </i>
    <i>
      <x v="1"/>
    </i>
    <i r="1">
      <x v="1"/>
    </i>
    <i r="2">
      <x v="4"/>
    </i>
    <i r="1">
      <x v="3"/>
    </i>
    <i r="2">
      <x v="4"/>
    </i>
    <i>
      <x v="2"/>
    </i>
    <i r="1">
      <x/>
    </i>
    <i r="2">
      <x v="1"/>
    </i>
    <i r="2">
      <x v="3"/>
    </i>
    <i r="1">
      <x v="1"/>
    </i>
    <i r="2">
      <x v="1"/>
    </i>
    <i r="2">
      <x v="3"/>
    </i>
    <i r="1">
      <x v="3"/>
    </i>
    <i r="2">
      <x v="1"/>
    </i>
    <i t="grand">
      <x/>
    </i>
  </rowItems>
  <colFields count="1">
    <field x="-2"/>
  </colFields>
  <colItems count="3">
    <i>
      <x/>
    </i>
    <i i="1">
      <x v="1"/>
    </i>
    <i i="2">
      <x v="2"/>
    </i>
  </colItems>
  <dataFields count="3">
    <dataField name="Sum of Quantity" fld="4" baseField="2" baseItem="0"/>
    <dataField name="Sales Value1" fld="7" baseField="3" baseItem="0"/>
    <dataField name="Sum of Unit Price" fld="5" baseField="0" baseItem="0"/>
  </dataFields>
  <formats count="8">
    <format dxfId="15">
      <pivotArea field="2" type="button" dataOnly="0" labelOnly="1" outline="0" axis="axisRow" fieldPosition="0"/>
    </format>
    <format dxfId="13">
      <pivotArea dataOnly="0" labelOnly="1" outline="0" fieldPosition="0">
        <references count="1">
          <reference field="4294967294" count="3">
            <x v="0"/>
            <x v="1"/>
            <x v="2"/>
          </reference>
        </references>
      </pivotArea>
    </format>
    <format dxfId="11">
      <pivotArea field="2" type="button" dataOnly="0" labelOnly="1" outline="0" axis="axisRow" fieldPosition="0"/>
    </format>
    <format dxfId="10">
      <pivotArea dataOnly="0" labelOnly="1" outline="0" fieldPosition="0">
        <references count="1">
          <reference field="4294967294" count="3">
            <x v="0"/>
            <x v="1"/>
            <x v="2"/>
          </reference>
        </references>
      </pivotArea>
    </format>
    <format dxfId="9">
      <pivotArea field="2" type="button" dataOnly="0" labelOnly="1" outline="0" axis="axisRow" fieldPosition="0"/>
    </format>
    <format dxfId="8">
      <pivotArea dataOnly="0" labelOnly="1" outline="0" fieldPosition="0">
        <references count="1">
          <reference field="4294967294" count="3">
            <x v="0"/>
            <x v="1"/>
            <x v="2"/>
          </reference>
        </references>
      </pivotArea>
    </format>
    <format dxfId="1">
      <pivotArea field="2" type="button" dataOnly="0" labelOnly="1" outline="0" axis="axisRow" fieldPosition="0"/>
    </format>
    <format dxfId="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CFF54049-BD8F-4D01-92CD-845F52391C33}" sourceName="Product">
  <pivotTables>
    <pivotTable tabId="2" name="PivotTable1"/>
  </pivotTables>
  <data>
    <tabular pivotCacheId="1715758366">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97F2156-48CB-40BE-A8C3-D96EE075579B}" sourceName="Product">
  <extLst>
    <x:ext xmlns:x15="http://schemas.microsoft.com/office/spreadsheetml/2010/11/main" uri="{2F2917AC-EB37-4324-AD4E-5DD8C200BD13}">
      <x15:tableSlicerCache tableId="2" column="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Value" xr10:uid="{69A76695-10D9-4D49-AA50-723B22F49C42}" sourceName="Sales Value">
  <extLst>
    <x:ext xmlns:x15="http://schemas.microsoft.com/office/spreadsheetml/2010/11/main" uri="{2F2917AC-EB37-4324-AD4E-5DD8C200BD13}">
      <x15:tableSlicerCache tableId="2" column="8"/>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006DEF6-059E-4A0A-8857-8652310F5598}" sourceName="Country">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A0E8523B-D51E-4EC2-8C65-50B932E26E63}" cache="Slicer_Product1" caption="Product" rowHeight="241300"/>
  <slicer name="Sales Value" xr10:uid="{0FD2339C-0798-43F9-8037-51A2215B1B7F}" cache="Slicer_Sales_Value" caption="Sales Val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E9C5A1E-116E-47FD-9E3E-B295DB24B885}" cache="Slicer_Product"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0041CA1-C58E-4257-8499-C1FDA595B353}"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AC90A7-39B5-49F2-A208-55FF49367AE1}" name="Table2" displayName="Table2" ref="A1:H14" totalsRowShown="0" headerRowDxfId="25" dataDxfId="24">
  <autoFilter ref="A1:H14" xr:uid="{1AAC90A7-39B5-49F2-A208-55FF49367AE1}"/>
  <tableColumns count="8">
    <tableColumn id="1" xr3:uid="{7330A552-E8BC-47D8-B352-924C76950C7E}" name="Order ID" dataDxfId="23"/>
    <tableColumn id="2" xr3:uid="{BEFD6A37-B1EC-4422-B9C8-F9EFC3C5084C}" name="Customer" dataDxfId="22"/>
    <tableColumn id="3" xr3:uid="{0DBC95EC-F258-45D6-847E-D71B00EDA746}" name="Country" dataDxfId="21"/>
    <tableColumn id="4" xr3:uid="{1A761B48-B929-4F38-BD36-525C407F5099}" name="Product" dataDxfId="20"/>
    <tableColumn id="5" xr3:uid="{4B49C861-2E85-4526-BCEB-4E7783668C9F}" name="Qty" dataDxfId="19"/>
    <tableColumn id="6" xr3:uid="{13CDF68C-91FE-4790-AAC3-5068D493CB2F}" name="Unit Price" dataDxfId="18" dataCellStyle="Currency"/>
    <tableColumn id="7" xr3:uid="{638392AF-A79D-41C7-8865-3B788416B103}" name="Status" dataDxfId="17"/>
    <tableColumn id="8" xr3:uid="{4A163E1D-BC53-4C70-BB69-FB68ABC6BAB9}" name="Sales Value" dataDxfId="16"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A33D-39EC-442C-BC01-98F18621A22B}">
  <dimension ref="A1:H18"/>
  <sheetViews>
    <sheetView workbookViewId="0">
      <selection sqref="A1:I13"/>
    </sheetView>
  </sheetViews>
  <sheetFormatPr defaultRowHeight="14.5" x14ac:dyDescent="0.35"/>
  <cols>
    <col min="1" max="1" width="12.1796875" customWidth="1"/>
    <col min="2" max="2" width="14.7265625" customWidth="1"/>
    <col min="3" max="3" width="12.54296875" customWidth="1"/>
    <col min="4" max="4" width="13" customWidth="1"/>
    <col min="5" max="5" width="11.6328125" customWidth="1"/>
    <col min="6" max="6" width="27.81640625" style="5" bestFit="1" customWidth="1"/>
    <col min="7" max="7" width="13.6328125" bestFit="1" customWidth="1"/>
    <col min="8" max="8" width="16" style="5" customWidth="1"/>
  </cols>
  <sheetData>
    <row r="1" spans="1:8" x14ac:dyDescent="0.35">
      <c r="A1" s="1" t="s">
        <v>0</v>
      </c>
      <c r="B1" s="1" t="s">
        <v>1</v>
      </c>
      <c r="C1" s="1" t="s">
        <v>2</v>
      </c>
      <c r="D1" s="1" t="s">
        <v>3</v>
      </c>
      <c r="E1" s="1" t="s">
        <v>4</v>
      </c>
      <c r="F1" s="3" t="s">
        <v>5</v>
      </c>
      <c r="G1" s="1" t="s">
        <v>6</v>
      </c>
      <c r="H1" s="3" t="s">
        <v>34</v>
      </c>
    </row>
    <row r="2" spans="1:8" x14ac:dyDescent="0.35">
      <c r="A2" s="2" t="s">
        <v>7</v>
      </c>
      <c r="B2" s="2" t="s">
        <v>8</v>
      </c>
      <c r="C2" s="2" t="s">
        <v>9</v>
      </c>
      <c r="D2" s="2" t="s">
        <v>10</v>
      </c>
      <c r="E2" s="2">
        <v>2</v>
      </c>
      <c r="F2" s="4">
        <v>250000</v>
      </c>
      <c r="G2" s="2" t="s">
        <v>11</v>
      </c>
      <c r="H2" s="5">
        <f>E2*F2</f>
        <v>500000</v>
      </c>
    </row>
    <row r="3" spans="1:8" x14ac:dyDescent="0.35">
      <c r="A3" s="2" t="s">
        <v>12</v>
      </c>
      <c r="B3" s="2" t="s">
        <v>13</v>
      </c>
      <c r="C3" s="2" t="s">
        <v>14</v>
      </c>
      <c r="D3" s="2" t="s">
        <v>15</v>
      </c>
      <c r="E3" s="2">
        <v>5</v>
      </c>
      <c r="F3" s="4">
        <v>8000</v>
      </c>
      <c r="G3" s="2" t="s">
        <v>16</v>
      </c>
      <c r="H3" s="5">
        <f t="shared" ref="H3:H13" si="0">E3*F3</f>
        <v>40000</v>
      </c>
    </row>
    <row r="4" spans="1:8" x14ac:dyDescent="0.35">
      <c r="A4" s="2" t="s">
        <v>17</v>
      </c>
      <c r="B4" s="2" t="s">
        <v>18</v>
      </c>
      <c r="C4" s="2" t="s">
        <v>9</v>
      </c>
      <c r="D4" s="2" t="s">
        <v>19</v>
      </c>
      <c r="E4" s="2">
        <v>3</v>
      </c>
      <c r="F4" s="4">
        <v>15000</v>
      </c>
      <c r="G4" s="2" t="s">
        <v>11</v>
      </c>
      <c r="H4" s="5">
        <f t="shared" si="0"/>
        <v>45000</v>
      </c>
    </row>
    <row r="5" spans="1:8" x14ac:dyDescent="0.35">
      <c r="A5" s="2" t="s">
        <v>20</v>
      </c>
      <c r="B5" s="2" t="s">
        <v>21</v>
      </c>
      <c r="C5" s="2" t="s">
        <v>22</v>
      </c>
      <c r="D5" s="2" t="s">
        <v>10</v>
      </c>
      <c r="E5" s="2">
        <v>1</v>
      </c>
      <c r="F5" s="4">
        <v>250000</v>
      </c>
      <c r="G5" s="2" t="s">
        <v>23</v>
      </c>
      <c r="H5" s="5">
        <f t="shared" si="0"/>
        <v>250000</v>
      </c>
    </row>
    <row r="6" spans="1:8" x14ac:dyDescent="0.35">
      <c r="A6" s="2" t="s">
        <v>24</v>
      </c>
      <c r="B6" s="2" t="s">
        <v>8</v>
      </c>
      <c r="C6" s="2" t="s">
        <v>9</v>
      </c>
      <c r="D6" s="2" t="s">
        <v>15</v>
      </c>
      <c r="E6" s="2">
        <v>4</v>
      </c>
      <c r="F6" s="4">
        <v>8000</v>
      </c>
      <c r="G6" s="2" t="s">
        <v>11</v>
      </c>
      <c r="H6" s="5">
        <f t="shared" si="0"/>
        <v>32000</v>
      </c>
    </row>
    <row r="7" spans="1:8" x14ac:dyDescent="0.35">
      <c r="A7" s="2" t="s">
        <v>25</v>
      </c>
      <c r="B7" s="2" t="s">
        <v>26</v>
      </c>
      <c r="C7" s="2" t="s">
        <v>14</v>
      </c>
      <c r="D7" s="2" t="s">
        <v>27</v>
      </c>
      <c r="E7" s="2">
        <v>2</v>
      </c>
      <c r="F7" s="4">
        <v>95000</v>
      </c>
      <c r="G7" s="2" t="s">
        <v>16</v>
      </c>
      <c r="H7" s="5">
        <f t="shared" si="0"/>
        <v>190000</v>
      </c>
    </row>
    <row r="8" spans="1:8" x14ac:dyDescent="0.35">
      <c r="A8" s="2" t="s">
        <v>28</v>
      </c>
      <c r="B8" s="2" t="s">
        <v>13</v>
      </c>
      <c r="C8" s="2" t="s">
        <v>14</v>
      </c>
      <c r="D8" s="2" t="s">
        <v>19</v>
      </c>
      <c r="E8" s="2">
        <v>2</v>
      </c>
      <c r="F8" s="4">
        <v>15000</v>
      </c>
      <c r="G8" s="2" t="s">
        <v>11</v>
      </c>
      <c r="H8" s="5">
        <f t="shared" si="0"/>
        <v>30000</v>
      </c>
    </row>
    <row r="9" spans="1:8" x14ac:dyDescent="0.35">
      <c r="A9" s="2" t="s">
        <v>29</v>
      </c>
      <c r="B9" s="2" t="s">
        <v>18</v>
      </c>
      <c r="C9" s="2" t="s">
        <v>9</v>
      </c>
      <c r="D9" s="2" t="s">
        <v>10</v>
      </c>
      <c r="E9" s="2">
        <v>1</v>
      </c>
      <c r="F9" s="4">
        <v>250000</v>
      </c>
      <c r="G9" s="2" t="s">
        <v>11</v>
      </c>
      <c r="H9" s="5">
        <f t="shared" si="0"/>
        <v>250000</v>
      </c>
    </row>
    <row r="10" spans="1:8" x14ac:dyDescent="0.35">
      <c r="A10" s="2" t="s">
        <v>30</v>
      </c>
      <c r="B10" s="2" t="s">
        <v>21</v>
      </c>
      <c r="C10" s="2" t="s">
        <v>22</v>
      </c>
      <c r="D10" s="2" t="s">
        <v>15</v>
      </c>
      <c r="E10" s="2">
        <v>3</v>
      </c>
      <c r="F10" s="4">
        <v>8000</v>
      </c>
      <c r="G10" s="2" t="s">
        <v>16</v>
      </c>
      <c r="H10" s="5">
        <f t="shared" si="0"/>
        <v>24000</v>
      </c>
    </row>
    <row r="11" spans="1:8" x14ac:dyDescent="0.35">
      <c r="A11" s="2" t="s">
        <v>31</v>
      </c>
      <c r="B11" s="2" t="s">
        <v>26</v>
      </c>
      <c r="C11" s="2" t="s">
        <v>14</v>
      </c>
      <c r="D11" s="2" t="s">
        <v>27</v>
      </c>
      <c r="E11" s="2">
        <v>1</v>
      </c>
      <c r="F11" s="4">
        <v>95000</v>
      </c>
      <c r="G11" s="2" t="s">
        <v>11</v>
      </c>
      <c r="H11" s="5">
        <f t="shared" si="0"/>
        <v>95000</v>
      </c>
    </row>
    <row r="12" spans="1:8" x14ac:dyDescent="0.35">
      <c r="A12" s="2" t="s">
        <v>32</v>
      </c>
      <c r="B12" s="2" t="s">
        <v>8</v>
      </c>
      <c r="C12" s="2" t="s">
        <v>9</v>
      </c>
      <c r="D12" s="2" t="s">
        <v>19</v>
      </c>
      <c r="E12" s="2">
        <v>2</v>
      </c>
      <c r="F12" s="4">
        <v>15000</v>
      </c>
      <c r="G12" s="2" t="s">
        <v>16</v>
      </c>
      <c r="H12" s="5">
        <f t="shared" si="0"/>
        <v>30000</v>
      </c>
    </row>
    <row r="13" spans="1:8" x14ac:dyDescent="0.35">
      <c r="A13" s="2" t="s">
        <v>33</v>
      </c>
      <c r="B13" s="2" t="s">
        <v>13</v>
      </c>
      <c r="C13" s="2" t="s">
        <v>14</v>
      </c>
      <c r="D13" s="2" t="s">
        <v>10</v>
      </c>
      <c r="E13" s="2">
        <v>1</v>
      </c>
      <c r="F13" s="4">
        <v>250000</v>
      </c>
      <c r="G13" s="2" t="s">
        <v>11</v>
      </c>
      <c r="H13" s="5">
        <f t="shared" si="0"/>
        <v>250000</v>
      </c>
    </row>
    <row r="15" spans="1:8" ht="15" thickBot="1" x14ac:dyDescent="0.4"/>
    <row r="16" spans="1:8" ht="18.5" x14ac:dyDescent="0.45">
      <c r="F16" s="10" t="s">
        <v>35</v>
      </c>
      <c r="G16" s="13">
        <f>COUNTIF(G2:G13,"complete")</f>
        <v>7</v>
      </c>
    </row>
    <row r="17" spans="6:7" ht="18.5" x14ac:dyDescent="0.45">
      <c r="F17" s="11" t="s">
        <v>36</v>
      </c>
      <c r="G17" s="14">
        <f>SUM(H2:H13)</f>
        <v>1736000</v>
      </c>
    </row>
    <row r="18" spans="6:7" ht="19" thickBot="1" x14ac:dyDescent="0.5">
      <c r="F18" s="12" t="s">
        <v>37</v>
      </c>
      <c r="G18" s="15">
        <f>SUMIF(G2:G13,"complete",H2:H13)</f>
        <v>1202000</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A2612-48B4-4B94-8A86-4858A914E0B6}">
  <dimension ref="A1:D27"/>
  <sheetViews>
    <sheetView topLeftCell="A7" workbookViewId="0">
      <selection activeCell="I2" sqref="I2"/>
    </sheetView>
  </sheetViews>
  <sheetFormatPr defaultRowHeight="14.5" x14ac:dyDescent="0.35"/>
  <cols>
    <col min="1" max="1" width="15.90625" customWidth="1"/>
    <col min="2" max="2" width="18.7265625" customWidth="1"/>
    <col min="3" max="3" width="16.453125" customWidth="1"/>
    <col min="4" max="4" width="22.81640625" customWidth="1"/>
    <col min="5" max="6" width="10.7265625" bestFit="1" customWidth="1"/>
  </cols>
  <sheetData>
    <row r="1" spans="1:4" ht="44" customHeight="1" x14ac:dyDescent="0.35"/>
    <row r="2" spans="1:4" ht="104" customHeight="1" x14ac:dyDescent="0.35"/>
    <row r="3" spans="1:4" s="17" customFormat="1" ht="29" customHeight="1" x14ac:dyDescent="0.45">
      <c r="A3" s="16" t="s">
        <v>3</v>
      </c>
      <c r="B3" s="16" t="s">
        <v>41</v>
      </c>
      <c r="C3" s="16" t="s">
        <v>39</v>
      </c>
      <c r="D3" s="16" t="s">
        <v>40</v>
      </c>
    </row>
    <row r="4" spans="1:4" x14ac:dyDescent="0.35">
      <c r="A4" s="7" t="s">
        <v>14</v>
      </c>
      <c r="B4" s="6">
        <v>11</v>
      </c>
      <c r="C4" s="6">
        <v>605000</v>
      </c>
      <c r="D4" s="6">
        <v>463000</v>
      </c>
    </row>
    <row r="5" spans="1:4" ht="17.5" customHeight="1" x14ac:dyDescent="0.35">
      <c r="A5" s="8" t="s">
        <v>19</v>
      </c>
      <c r="B5" s="6">
        <v>2</v>
      </c>
      <c r="C5" s="6">
        <v>30000</v>
      </c>
      <c r="D5" s="6">
        <v>15000</v>
      </c>
    </row>
    <row r="6" spans="1:4" ht="49.5" customHeight="1" x14ac:dyDescent="0.35">
      <c r="A6" s="9" t="s">
        <v>13</v>
      </c>
      <c r="B6" s="6">
        <v>2</v>
      </c>
      <c r="C6" s="6">
        <v>30000</v>
      </c>
      <c r="D6" s="6">
        <v>15000</v>
      </c>
    </row>
    <row r="7" spans="1:4" x14ac:dyDescent="0.35">
      <c r="A7" s="8" t="s">
        <v>10</v>
      </c>
      <c r="B7" s="6">
        <v>1</v>
      </c>
      <c r="C7" s="6">
        <v>250000</v>
      </c>
      <c r="D7" s="6">
        <v>250000</v>
      </c>
    </row>
    <row r="8" spans="1:4" x14ac:dyDescent="0.35">
      <c r="A8" s="9" t="s">
        <v>13</v>
      </c>
      <c r="B8" s="6">
        <v>1</v>
      </c>
      <c r="C8" s="6">
        <v>250000</v>
      </c>
      <c r="D8" s="6">
        <v>250000</v>
      </c>
    </row>
    <row r="9" spans="1:4" x14ac:dyDescent="0.35">
      <c r="A9" s="8" t="s">
        <v>27</v>
      </c>
      <c r="B9" s="6">
        <v>3</v>
      </c>
      <c r="C9" s="6">
        <v>285000</v>
      </c>
      <c r="D9" s="6">
        <v>190000</v>
      </c>
    </row>
    <row r="10" spans="1:4" x14ac:dyDescent="0.35">
      <c r="A10" s="9" t="s">
        <v>26</v>
      </c>
      <c r="B10" s="6">
        <v>3</v>
      </c>
      <c r="C10" s="6">
        <v>285000</v>
      </c>
      <c r="D10" s="6">
        <v>190000</v>
      </c>
    </row>
    <row r="11" spans="1:4" x14ac:dyDescent="0.35">
      <c r="A11" s="8" t="s">
        <v>15</v>
      </c>
      <c r="B11" s="6">
        <v>5</v>
      </c>
      <c r="C11" s="6">
        <v>40000</v>
      </c>
      <c r="D11" s="6">
        <v>8000</v>
      </c>
    </row>
    <row r="12" spans="1:4" x14ac:dyDescent="0.35">
      <c r="A12" s="9" t="s">
        <v>13</v>
      </c>
      <c r="B12" s="6">
        <v>5</v>
      </c>
      <c r="C12" s="6">
        <v>40000</v>
      </c>
      <c r="D12" s="6">
        <v>8000</v>
      </c>
    </row>
    <row r="13" spans="1:4" x14ac:dyDescent="0.35">
      <c r="A13" s="7" t="s">
        <v>22</v>
      </c>
      <c r="B13" s="6">
        <v>4</v>
      </c>
      <c r="C13" s="6">
        <v>274000</v>
      </c>
      <c r="D13" s="6">
        <v>258000</v>
      </c>
    </row>
    <row r="14" spans="1:4" x14ac:dyDescent="0.35">
      <c r="A14" s="8" t="s">
        <v>10</v>
      </c>
      <c r="B14" s="6">
        <v>1</v>
      </c>
      <c r="C14" s="6">
        <v>250000</v>
      </c>
      <c r="D14" s="6">
        <v>250000</v>
      </c>
    </row>
    <row r="15" spans="1:4" x14ac:dyDescent="0.35">
      <c r="A15" s="9" t="s">
        <v>21</v>
      </c>
      <c r="B15" s="6">
        <v>1</v>
      </c>
      <c r="C15" s="6">
        <v>250000</v>
      </c>
      <c r="D15" s="6">
        <v>250000</v>
      </c>
    </row>
    <row r="16" spans="1:4" x14ac:dyDescent="0.35">
      <c r="A16" s="8" t="s">
        <v>15</v>
      </c>
      <c r="B16" s="6">
        <v>3</v>
      </c>
      <c r="C16" s="6">
        <v>24000</v>
      </c>
      <c r="D16" s="6">
        <v>8000</v>
      </c>
    </row>
    <row r="17" spans="1:4" x14ac:dyDescent="0.35">
      <c r="A17" s="9" t="s">
        <v>21</v>
      </c>
      <c r="B17" s="6">
        <v>3</v>
      </c>
      <c r="C17" s="6">
        <v>24000</v>
      </c>
      <c r="D17" s="6">
        <v>8000</v>
      </c>
    </row>
    <row r="18" spans="1:4" x14ac:dyDescent="0.35">
      <c r="A18" s="7" t="s">
        <v>9</v>
      </c>
      <c r="B18" s="6">
        <v>12</v>
      </c>
      <c r="C18" s="6">
        <v>857000</v>
      </c>
      <c r="D18" s="6">
        <v>538000</v>
      </c>
    </row>
    <row r="19" spans="1:4" x14ac:dyDescent="0.35">
      <c r="A19" s="8" t="s">
        <v>19</v>
      </c>
      <c r="B19" s="6">
        <v>5</v>
      </c>
      <c r="C19" s="6">
        <v>75000</v>
      </c>
      <c r="D19" s="6">
        <v>30000</v>
      </c>
    </row>
    <row r="20" spans="1:4" x14ac:dyDescent="0.35">
      <c r="A20" s="9" t="s">
        <v>8</v>
      </c>
      <c r="B20" s="6">
        <v>2</v>
      </c>
      <c r="C20" s="6">
        <v>30000</v>
      </c>
      <c r="D20" s="6">
        <v>15000</v>
      </c>
    </row>
    <row r="21" spans="1:4" x14ac:dyDescent="0.35">
      <c r="A21" s="9" t="s">
        <v>18</v>
      </c>
      <c r="B21" s="6">
        <v>3</v>
      </c>
      <c r="C21" s="6">
        <v>45000</v>
      </c>
      <c r="D21" s="6">
        <v>15000</v>
      </c>
    </row>
    <row r="22" spans="1:4" x14ac:dyDescent="0.35">
      <c r="A22" s="8" t="s">
        <v>10</v>
      </c>
      <c r="B22" s="6">
        <v>3</v>
      </c>
      <c r="C22" s="6">
        <v>750000</v>
      </c>
      <c r="D22" s="6">
        <v>500000</v>
      </c>
    </row>
    <row r="23" spans="1:4" x14ac:dyDescent="0.35">
      <c r="A23" s="9" t="s">
        <v>8</v>
      </c>
      <c r="B23" s="6">
        <v>2</v>
      </c>
      <c r="C23" s="6">
        <v>500000</v>
      </c>
      <c r="D23" s="6">
        <v>250000</v>
      </c>
    </row>
    <row r="24" spans="1:4" x14ac:dyDescent="0.35">
      <c r="A24" s="9" t="s">
        <v>18</v>
      </c>
      <c r="B24" s="6">
        <v>1</v>
      </c>
      <c r="C24" s="6">
        <v>250000</v>
      </c>
      <c r="D24" s="6">
        <v>250000</v>
      </c>
    </row>
    <row r="25" spans="1:4" x14ac:dyDescent="0.35">
      <c r="A25" s="8" t="s">
        <v>15</v>
      </c>
      <c r="B25" s="6">
        <v>4</v>
      </c>
      <c r="C25" s="6">
        <v>32000</v>
      </c>
      <c r="D25" s="6">
        <v>8000</v>
      </c>
    </row>
    <row r="26" spans="1:4" x14ac:dyDescent="0.35">
      <c r="A26" s="9" t="s">
        <v>8</v>
      </c>
      <c r="B26" s="6">
        <v>4</v>
      </c>
      <c r="C26" s="6">
        <v>32000</v>
      </c>
      <c r="D26" s="6">
        <v>8000</v>
      </c>
    </row>
    <row r="27" spans="1:4" x14ac:dyDescent="0.35">
      <c r="A27" s="7" t="s">
        <v>38</v>
      </c>
      <c r="B27" s="6">
        <v>27</v>
      </c>
      <c r="C27" s="6">
        <v>1736000</v>
      </c>
      <c r="D27" s="6">
        <v>1259000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0A85-997C-4434-8816-532A7F2BC636}">
  <dimension ref="A1"/>
  <sheetViews>
    <sheetView tabSelected="1" topLeftCell="A5" workbookViewId="0">
      <selection activeCell="A18" sqref="A18"/>
    </sheetView>
  </sheetViews>
  <sheetFormatPr defaultRowHeight="14.5" x14ac:dyDescent="0.35"/>
  <sheetData/>
  <pageMargins left="0.7" right="0.7" top="0.75" bottom="0.75" header="0.3" footer="0.3"/>
  <pageSetup orientation="portrait" r:id="rId1"/>
  <drawing r:id="rId2"/>
  <picture r:id="rId3"/>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order</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ezinne anthony</dc:creator>
  <cp:lastModifiedBy>ezinne anthony</cp:lastModifiedBy>
  <dcterms:created xsi:type="dcterms:W3CDTF">2026-10-22T09:36:02Z</dcterms:created>
  <dcterms:modified xsi:type="dcterms:W3CDTF">2026-10-22T16:53:26Z</dcterms:modified>
</cp:coreProperties>
</file>