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745b4f5d8473e394/Documents/"/>
    </mc:Choice>
  </mc:AlternateContent>
  <xr:revisionPtr revIDLastSave="0" documentId="8_{5500FAA7-0887-47C0-8679-212DE046B153}" xr6:coauthVersionLast="47" xr6:coauthVersionMax="47" xr10:uidLastSave="{00000000-0000-0000-0000-000000000000}"/>
  <bookViews>
    <workbookView xWindow="-110" yWindow="-110" windowWidth="19420" windowHeight="10560" activeTab="1" xr2:uid="{4817A0E0-1FD5-42E8-94E3-56E7FDEFF9FB}"/>
  </bookViews>
  <sheets>
    <sheet name="Population" sheetId="1" r:id="rId1"/>
    <sheet name="Pivot table" sheetId="4" r:id="rId2"/>
    <sheet name="Dashboard" sheetId="3" r:id="rId3"/>
  </sheets>
  <definedNames>
    <definedName name="Slicer_Countries">#N/A</definedName>
    <definedName name="Slicer_Countries1">#N/A</definedName>
    <definedName name="Slicer_Females">#N/A</definedName>
    <definedName name="Slicer_Males">#N/A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<sst xmlns="http://schemas.openxmlformats.org/spreadsheetml/2006/main" count="78" uniqueCount="42">
  <si>
    <t>ID</t>
  </si>
  <si>
    <t>Countries</t>
  </si>
  <si>
    <t>Continent</t>
  </si>
  <si>
    <t>Populations</t>
  </si>
  <si>
    <t>Males</t>
  </si>
  <si>
    <t>Females</t>
  </si>
  <si>
    <t>Senior Citizens</t>
  </si>
  <si>
    <t>Major Citizens</t>
  </si>
  <si>
    <t>Minor Citizens</t>
  </si>
  <si>
    <t>Children</t>
  </si>
  <si>
    <t>Brazil</t>
  </si>
  <si>
    <t>South America</t>
  </si>
  <si>
    <t>Argentina</t>
  </si>
  <si>
    <t>Nigeria</t>
  </si>
  <si>
    <t>Africa</t>
  </si>
  <si>
    <t>Ghana</t>
  </si>
  <si>
    <t>South Africa</t>
  </si>
  <si>
    <t>Italy</t>
  </si>
  <si>
    <t>Europe</t>
  </si>
  <si>
    <t>China</t>
  </si>
  <si>
    <t>Asia</t>
  </si>
  <si>
    <t>Japan</t>
  </si>
  <si>
    <t>Germany</t>
  </si>
  <si>
    <t>Kenya</t>
  </si>
  <si>
    <t>Colombia</t>
  </si>
  <si>
    <t>England</t>
  </si>
  <si>
    <t>France</t>
  </si>
  <si>
    <t>Morroco</t>
  </si>
  <si>
    <t>Egypt</t>
  </si>
  <si>
    <t>Canada</t>
  </si>
  <si>
    <t>North America</t>
  </si>
  <si>
    <t>USA</t>
  </si>
  <si>
    <t>Bolivia</t>
  </si>
  <si>
    <t>Domican</t>
  </si>
  <si>
    <t>Costa Rica</t>
  </si>
  <si>
    <t>Grand Total</t>
  </si>
  <si>
    <t>Sum of Populations</t>
  </si>
  <si>
    <t>Sum of Females</t>
  </si>
  <si>
    <t>Sum of Males</t>
  </si>
  <si>
    <t>Sum of Children</t>
  </si>
  <si>
    <t>(All)</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</si>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</sst>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3" fontId="0" fillId="0" borderId="5" xfId="0" applyNumberFormat="1" applyBorder="1"/>
    <xf numFmtId="3" fontId="0" fillId="0" borderId="6" xfId="0" applyNumberFormat="1" applyBorder="1"/>
    <xf numFmtId="0" fontId="0" fillId="0" borderId="7" xfId="0" applyBorder="1" applyAlignment="1">
      <alignment horizontal="center"/>
    </xf>
    <xf numFmtId="0" fontId="0" fillId="0" borderId="8" xfId="0" applyBorder="1" applyAlignment="1">
      <alignment horizontal="center"/>
    </xf>
    <xf numFmtId="3" fontId="0" fillId="0" borderId="8" xfId="0" applyNumberFormat="1" applyBorder="1"/>
    <xf numFmtId="3" fontId="0" fillId="0" borderId="9" xfId="0" applyNumberFormat="1" applyBorder="1"/>
    <xf numFmtId="0" fontId="0" fillId="0" borderId="0" xfId="0" applyAlignment="1">
      <alignment horizontal="center"/>
    </xf>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4">
    <dxf>
      <numFmt numFmtId="3" formatCode="#,##0"/>
      <border diagonalUp="0" diagonalDown="0">
        <left style="thin">
          <color indexed="64"/>
        </left>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Github Project 1.xlsx]Pivot table!PivotTable1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Sum of Males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table'!$B$4:$B$24</c:f>
              <c:numCache>
                <c:formatCode>General</c:formatCode>
                <c:ptCount val="20"/>
                <c:pt idx="0">
                  <c:v>10988000</c:v>
                </c:pt>
                <c:pt idx="1">
                  <c:v>8280000</c:v>
                </c:pt>
                <c:pt idx="2">
                  <c:v>24750000</c:v>
                </c:pt>
                <c:pt idx="3">
                  <c:v>13020000</c:v>
                </c:pt>
                <c:pt idx="4">
                  <c:v>38527000</c:v>
                </c:pt>
                <c:pt idx="5">
                  <c:v>10290000</c:v>
                </c:pt>
                <c:pt idx="6">
                  <c:v>11457000</c:v>
                </c:pt>
                <c:pt idx="7">
                  <c:v>9646000</c:v>
                </c:pt>
                <c:pt idx="8">
                  <c:v>16569000</c:v>
                </c:pt>
                <c:pt idx="9">
                  <c:v>13800000</c:v>
                </c:pt>
                <c:pt idx="10">
                  <c:v>16900000</c:v>
                </c:pt>
                <c:pt idx="11">
                  <c:v>12330000</c:v>
                </c:pt>
                <c:pt idx="12">
                  <c:v>13735000</c:v>
                </c:pt>
                <c:pt idx="13">
                  <c:v>9639000</c:v>
                </c:pt>
                <c:pt idx="14">
                  <c:v>31720000</c:v>
                </c:pt>
                <c:pt idx="15">
                  <c:v>13440000</c:v>
                </c:pt>
                <c:pt idx="16">
                  <c:v>10593000</c:v>
                </c:pt>
                <c:pt idx="17">
                  <c:v>32250000</c:v>
                </c:pt>
                <c:pt idx="18">
                  <c:v>13640000</c:v>
                </c:pt>
                <c:pt idx="19">
                  <c:v>34374000</c:v>
                </c:pt>
              </c:numCache>
            </c:numRef>
          </c:val>
          <c:extLst>
            <c:ext xmlns:c16="http://schemas.microsoft.com/office/drawing/2014/chart" uri="{C3380CC4-5D6E-409C-BE32-E72D297353CC}">
              <c16:uniqueId val="{00000005-CA3E-4374-B1E6-EF1BE22BBF10}"/>
            </c:ext>
          </c:extLst>
        </c:ser>
        <c:ser>
          <c:idx val="1"/>
          <c:order val="1"/>
          <c:tx>
            <c:strRef>
              <c:f>'Pivot table'!$C$3</c:f>
              <c:strCache>
                <c:ptCount val="1"/>
                <c:pt idx="0">
                  <c:v>Sum of Children</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table'!$C$4:$C$24</c:f>
              <c:numCache>
                <c:formatCode>General</c:formatCode>
                <c:ptCount val="20"/>
                <c:pt idx="0">
                  <c:v>4680000</c:v>
                </c:pt>
                <c:pt idx="1">
                  <c:v>4680000</c:v>
                </c:pt>
                <c:pt idx="2">
                  <c:v>3600000</c:v>
                </c:pt>
                <c:pt idx="3">
                  <c:v>4200000</c:v>
                </c:pt>
                <c:pt idx="4">
                  <c:v>22855000</c:v>
                </c:pt>
                <c:pt idx="5">
                  <c:v>3570000</c:v>
                </c:pt>
                <c:pt idx="6">
                  <c:v>5025000</c:v>
                </c:pt>
                <c:pt idx="7">
                  <c:v>5460000</c:v>
                </c:pt>
                <c:pt idx="8">
                  <c:v>5523000</c:v>
                </c:pt>
                <c:pt idx="9">
                  <c:v>4600000</c:v>
                </c:pt>
                <c:pt idx="10">
                  <c:v>8775000</c:v>
                </c:pt>
                <c:pt idx="11">
                  <c:v>5754000</c:v>
                </c:pt>
                <c:pt idx="12">
                  <c:v>6030000</c:v>
                </c:pt>
                <c:pt idx="13">
                  <c:v>3213000</c:v>
                </c:pt>
                <c:pt idx="14">
                  <c:v>6240000</c:v>
                </c:pt>
                <c:pt idx="15">
                  <c:v>5376000</c:v>
                </c:pt>
                <c:pt idx="16">
                  <c:v>5992000</c:v>
                </c:pt>
                <c:pt idx="17">
                  <c:v>15000000</c:v>
                </c:pt>
                <c:pt idx="18">
                  <c:v>5890000</c:v>
                </c:pt>
                <c:pt idx="19">
                  <c:v>14154000</c:v>
                </c:pt>
              </c:numCache>
            </c:numRef>
          </c:val>
          <c:extLst>
            <c:ext xmlns:c16="http://schemas.microsoft.com/office/drawing/2014/chart" uri="{C3380CC4-5D6E-409C-BE32-E72D297353CC}">
              <c16:uniqueId val="{00000006-CA3E-4374-B1E6-EF1BE22BBF10}"/>
            </c:ext>
          </c:extLst>
        </c:ser>
        <c:ser>
          <c:idx val="2"/>
          <c:order val="2"/>
          <c:tx>
            <c:strRef>
              <c:f>'Pivot table'!$D$3</c:f>
              <c:strCache>
                <c:ptCount val="1"/>
                <c:pt idx="0">
                  <c:v>Sum of Females</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table'!$D$4:$D$24</c:f>
              <c:numCache>
                <c:formatCode>General</c:formatCode>
                <c:ptCount val="20"/>
                <c:pt idx="0">
                  <c:v>12402000</c:v>
                </c:pt>
                <c:pt idx="1">
                  <c:v>9720000</c:v>
                </c:pt>
                <c:pt idx="2">
                  <c:v>20250000</c:v>
                </c:pt>
                <c:pt idx="3">
                  <c:v>7980000</c:v>
                </c:pt>
                <c:pt idx="4">
                  <c:v>26773000</c:v>
                </c:pt>
                <c:pt idx="5">
                  <c:v>10710000</c:v>
                </c:pt>
                <c:pt idx="6">
                  <c:v>8643000</c:v>
                </c:pt>
                <c:pt idx="7">
                  <c:v>8554000</c:v>
                </c:pt>
                <c:pt idx="8">
                  <c:v>9731000</c:v>
                </c:pt>
                <c:pt idx="9">
                  <c:v>9200000</c:v>
                </c:pt>
                <c:pt idx="10">
                  <c:v>15600000</c:v>
                </c:pt>
                <c:pt idx="11">
                  <c:v>15070000</c:v>
                </c:pt>
                <c:pt idx="12">
                  <c:v>19765000</c:v>
                </c:pt>
                <c:pt idx="13">
                  <c:v>9261000</c:v>
                </c:pt>
                <c:pt idx="14">
                  <c:v>20280000</c:v>
                </c:pt>
                <c:pt idx="15">
                  <c:v>8960000</c:v>
                </c:pt>
                <c:pt idx="16">
                  <c:v>10807000</c:v>
                </c:pt>
                <c:pt idx="17">
                  <c:v>42750000</c:v>
                </c:pt>
                <c:pt idx="18">
                  <c:v>17360000</c:v>
                </c:pt>
                <c:pt idx="19">
                  <c:v>33026000</c:v>
                </c:pt>
              </c:numCache>
            </c:numRef>
          </c:val>
          <c:extLst>
            <c:ext xmlns:c16="http://schemas.microsoft.com/office/drawing/2014/chart" uri="{C3380CC4-5D6E-409C-BE32-E72D297353CC}">
              <c16:uniqueId val="{00000007-CA3E-4374-B1E6-EF1BE22BBF10}"/>
            </c:ext>
          </c:extLst>
        </c:ser>
        <c:ser>
          <c:idx val="3"/>
          <c:order val="3"/>
          <c:tx>
            <c:strRef>
              <c:f>'Pivot table'!$E$3</c:f>
              <c:strCache>
                <c:ptCount val="1"/>
                <c:pt idx="0">
                  <c:v>Sum of Populations</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table'!$E$4:$E$24</c:f>
              <c:numCache>
                <c:formatCode>General</c:formatCode>
                <c:ptCount val="20"/>
                <c:pt idx="0">
                  <c:v>23400000</c:v>
                </c:pt>
                <c:pt idx="1">
                  <c:v>18000000</c:v>
                </c:pt>
                <c:pt idx="2">
                  <c:v>45000000</c:v>
                </c:pt>
                <c:pt idx="3">
                  <c:v>21000000</c:v>
                </c:pt>
                <c:pt idx="4">
                  <c:v>65300000</c:v>
                </c:pt>
                <c:pt idx="5">
                  <c:v>21000000</c:v>
                </c:pt>
                <c:pt idx="6">
                  <c:v>20100000</c:v>
                </c:pt>
                <c:pt idx="7">
                  <c:v>18200000</c:v>
                </c:pt>
                <c:pt idx="8">
                  <c:v>26300000</c:v>
                </c:pt>
                <c:pt idx="9">
                  <c:v>23000000</c:v>
                </c:pt>
                <c:pt idx="10">
                  <c:v>32500000</c:v>
                </c:pt>
                <c:pt idx="11">
                  <c:v>27400000</c:v>
                </c:pt>
                <c:pt idx="12">
                  <c:v>33500000</c:v>
                </c:pt>
                <c:pt idx="13">
                  <c:v>18900000</c:v>
                </c:pt>
                <c:pt idx="14">
                  <c:v>52000000</c:v>
                </c:pt>
                <c:pt idx="15">
                  <c:v>22400000</c:v>
                </c:pt>
                <c:pt idx="16">
                  <c:v>21400000</c:v>
                </c:pt>
                <c:pt idx="17">
                  <c:v>75000000</c:v>
                </c:pt>
                <c:pt idx="18">
                  <c:v>31000000</c:v>
                </c:pt>
                <c:pt idx="19">
                  <c:v>67400000</c:v>
                </c:pt>
              </c:numCache>
            </c:numRef>
          </c:val>
          <c:extLst>
            <c:ext xmlns:c16="http://schemas.microsoft.com/office/drawing/2014/chart" uri="{C3380CC4-5D6E-409C-BE32-E72D297353CC}">
              <c16:uniqueId val="{00000008-CA3E-4374-B1E6-EF1BE22BBF10}"/>
            </c:ext>
          </c:extLst>
        </c:ser>
        <c:dLbls>
          <c:showLegendKey val="0"/>
          <c:showVal val="0"/>
          <c:showCatName val="0"/>
          <c:showSerName val="0"/>
          <c:showPercent val="0"/>
          <c:showBubbleSize val="0"/>
        </c:dLbls>
        <c:gapWidth val="65"/>
        <c:shape val="box"/>
        <c:axId val="1371952848"/>
        <c:axId val="1371951600"/>
        <c:axId val="0"/>
      </c:bar3DChart>
      <c:catAx>
        <c:axId val="1371952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1951600"/>
        <c:crosses val="autoZero"/>
        <c:auto val="1"/>
        <c:lblAlgn val="ctr"/>
        <c:lblOffset val="100"/>
        <c:noMultiLvlLbl val="0"/>
      </c:catAx>
      <c:valAx>
        <c:axId val="13719516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195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 Github Project 1.xlsx]Pivot table!PivotTable1</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Sum of Males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B7-45F6-A766-D59B99057C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B7-45F6-A766-D59B99057C4F}"/>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table'!$B$4:$B$24</c:f>
              <c:numCache>
                <c:formatCode>General</c:formatCode>
                <c:ptCount val="20"/>
                <c:pt idx="0">
                  <c:v>10988000</c:v>
                </c:pt>
                <c:pt idx="1">
                  <c:v>8280000</c:v>
                </c:pt>
                <c:pt idx="2">
                  <c:v>24750000</c:v>
                </c:pt>
                <c:pt idx="3">
                  <c:v>13020000</c:v>
                </c:pt>
                <c:pt idx="4">
                  <c:v>38527000</c:v>
                </c:pt>
                <c:pt idx="5">
                  <c:v>10290000</c:v>
                </c:pt>
                <c:pt idx="6">
                  <c:v>11457000</c:v>
                </c:pt>
                <c:pt idx="7">
                  <c:v>9646000</c:v>
                </c:pt>
                <c:pt idx="8">
                  <c:v>16569000</c:v>
                </c:pt>
                <c:pt idx="9">
                  <c:v>13800000</c:v>
                </c:pt>
                <c:pt idx="10">
                  <c:v>16900000</c:v>
                </c:pt>
                <c:pt idx="11">
                  <c:v>12330000</c:v>
                </c:pt>
                <c:pt idx="12">
                  <c:v>13735000</c:v>
                </c:pt>
                <c:pt idx="13">
                  <c:v>9639000</c:v>
                </c:pt>
                <c:pt idx="14">
                  <c:v>31720000</c:v>
                </c:pt>
                <c:pt idx="15">
                  <c:v>13440000</c:v>
                </c:pt>
                <c:pt idx="16">
                  <c:v>10593000</c:v>
                </c:pt>
                <c:pt idx="17">
                  <c:v>32250000</c:v>
                </c:pt>
                <c:pt idx="18">
                  <c:v>13640000</c:v>
                </c:pt>
                <c:pt idx="19">
                  <c:v>34374000</c:v>
                </c:pt>
              </c:numCache>
            </c:numRef>
          </c:val>
          <c:extLst>
            <c:ext xmlns:c16="http://schemas.microsoft.com/office/drawing/2014/chart" uri="{C3380CC4-5D6E-409C-BE32-E72D297353CC}">
              <c16:uniqueId val="{00000004-67B7-45F6-A766-D59B99057C4F}"/>
            </c:ext>
          </c:extLst>
        </c:ser>
        <c:ser>
          <c:idx val="1"/>
          <c:order val="1"/>
          <c:tx>
            <c:strRef>
              <c:f>'Pivot table'!$C$3</c:f>
              <c:strCache>
                <c:ptCount val="1"/>
                <c:pt idx="0">
                  <c:v>Sum of Children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67B7-45F6-A766-D59B99057C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67B7-45F6-A766-D59B99057C4F}"/>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table'!$C$4:$C$24</c:f>
              <c:numCache>
                <c:formatCode>General</c:formatCode>
                <c:ptCount val="20"/>
                <c:pt idx="0">
                  <c:v>4680000</c:v>
                </c:pt>
                <c:pt idx="1">
                  <c:v>4680000</c:v>
                </c:pt>
                <c:pt idx="2">
                  <c:v>3600000</c:v>
                </c:pt>
                <c:pt idx="3">
                  <c:v>4200000</c:v>
                </c:pt>
                <c:pt idx="4">
                  <c:v>22855000</c:v>
                </c:pt>
                <c:pt idx="5">
                  <c:v>3570000</c:v>
                </c:pt>
                <c:pt idx="6">
                  <c:v>5025000</c:v>
                </c:pt>
                <c:pt idx="7">
                  <c:v>5460000</c:v>
                </c:pt>
                <c:pt idx="8">
                  <c:v>5523000</c:v>
                </c:pt>
                <c:pt idx="9">
                  <c:v>4600000</c:v>
                </c:pt>
                <c:pt idx="10">
                  <c:v>8775000</c:v>
                </c:pt>
                <c:pt idx="11">
                  <c:v>5754000</c:v>
                </c:pt>
                <c:pt idx="12">
                  <c:v>6030000</c:v>
                </c:pt>
                <c:pt idx="13">
                  <c:v>3213000</c:v>
                </c:pt>
                <c:pt idx="14">
                  <c:v>6240000</c:v>
                </c:pt>
                <c:pt idx="15">
                  <c:v>5376000</c:v>
                </c:pt>
                <c:pt idx="16">
                  <c:v>5992000</c:v>
                </c:pt>
                <c:pt idx="17">
                  <c:v>15000000</c:v>
                </c:pt>
                <c:pt idx="18">
                  <c:v>5890000</c:v>
                </c:pt>
                <c:pt idx="19">
                  <c:v>14154000</c:v>
                </c:pt>
              </c:numCache>
            </c:numRef>
          </c:val>
          <c:extLst>
            <c:ext xmlns:c16="http://schemas.microsoft.com/office/drawing/2014/chart" uri="{C3380CC4-5D6E-409C-BE32-E72D297353CC}">
              <c16:uniqueId val="{00000009-67B7-45F6-A766-D59B99057C4F}"/>
            </c:ext>
          </c:extLst>
        </c:ser>
        <c:ser>
          <c:idx val="2"/>
          <c:order val="2"/>
          <c:tx>
            <c:strRef>
              <c:f>'Pivot table'!$D$3</c:f>
              <c:strCache>
                <c:ptCount val="1"/>
                <c:pt idx="0">
                  <c:v>Sum of Females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67B7-45F6-A766-D59B99057C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67B7-45F6-A766-D59B99057C4F}"/>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table'!$D$4:$D$24</c:f>
              <c:numCache>
                <c:formatCode>General</c:formatCode>
                <c:ptCount val="20"/>
                <c:pt idx="0">
                  <c:v>12402000</c:v>
                </c:pt>
                <c:pt idx="1">
                  <c:v>9720000</c:v>
                </c:pt>
                <c:pt idx="2">
                  <c:v>20250000</c:v>
                </c:pt>
                <c:pt idx="3">
                  <c:v>7980000</c:v>
                </c:pt>
                <c:pt idx="4">
                  <c:v>26773000</c:v>
                </c:pt>
                <c:pt idx="5">
                  <c:v>10710000</c:v>
                </c:pt>
                <c:pt idx="6">
                  <c:v>8643000</c:v>
                </c:pt>
                <c:pt idx="7">
                  <c:v>8554000</c:v>
                </c:pt>
                <c:pt idx="8">
                  <c:v>9731000</c:v>
                </c:pt>
                <c:pt idx="9">
                  <c:v>9200000</c:v>
                </c:pt>
                <c:pt idx="10">
                  <c:v>15600000</c:v>
                </c:pt>
                <c:pt idx="11">
                  <c:v>15070000</c:v>
                </c:pt>
                <c:pt idx="12">
                  <c:v>19765000</c:v>
                </c:pt>
                <c:pt idx="13">
                  <c:v>9261000</c:v>
                </c:pt>
                <c:pt idx="14">
                  <c:v>20280000</c:v>
                </c:pt>
                <c:pt idx="15">
                  <c:v>8960000</c:v>
                </c:pt>
                <c:pt idx="16">
                  <c:v>10807000</c:v>
                </c:pt>
                <c:pt idx="17">
                  <c:v>42750000</c:v>
                </c:pt>
                <c:pt idx="18">
                  <c:v>17360000</c:v>
                </c:pt>
                <c:pt idx="19">
                  <c:v>33026000</c:v>
                </c:pt>
              </c:numCache>
            </c:numRef>
          </c:val>
          <c:extLst>
            <c:ext xmlns:c16="http://schemas.microsoft.com/office/drawing/2014/chart" uri="{C3380CC4-5D6E-409C-BE32-E72D297353CC}">
              <c16:uniqueId val="{0000000E-67B7-45F6-A766-D59B99057C4F}"/>
            </c:ext>
          </c:extLst>
        </c:ser>
        <c:ser>
          <c:idx val="3"/>
          <c:order val="3"/>
          <c:tx>
            <c:strRef>
              <c:f>'Pivot table'!$E$3</c:f>
              <c:strCache>
                <c:ptCount val="1"/>
                <c:pt idx="0">
                  <c:v>Sum of Populations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67B7-45F6-A766-D59B99057C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67B7-45F6-A766-D59B99057C4F}"/>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table'!$E$4:$E$24</c:f>
              <c:numCache>
                <c:formatCode>General</c:formatCode>
                <c:ptCount val="20"/>
                <c:pt idx="0">
                  <c:v>23400000</c:v>
                </c:pt>
                <c:pt idx="1">
                  <c:v>18000000</c:v>
                </c:pt>
                <c:pt idx="2">
                  <c:v>45000000</c:v>
                </c:pt>
                <c:pt idx="3">
                  <c:v>21000000</c:v>
                </c:pt>
                <c:pt idx="4">
                  <c:v>65300000</c:v>
                </c:pt>
                <c:pt idx="5">
                  <c:v>21000000</c:v>
                </c:pt>
                <c:pt idx="6">
                  <c:v>20100000</c:v>
                </c:pt>
                <c:pt idx="7">
                  <c:v>18200000</c:v>
                </c:pt>
                <c:pt idx="8">
                  <c:v>26300000</c:v>
                </c:pt>
                <c:pt idx="9">
                  <c:v>23000000</c:v>
                </c:pt>
                <c:pt idx="10">
                  <c:v>32500000</c:v>
                </c:pt>
                <c:pt idx="11">
                  <c:v>27400000</c:v>
                </c:pt>
                <c:pt idx="12">
                  <c:v>33500000</c:v>
                </c:pt>
                <c:pt idx="13">
                  <c:v>18900000</c:v>
                </c:pt>
                <c:pt idx="14">
                  <c:v>52000000</c:v>
                </c:pt>
                <c:pt idx="15">
                  <c:v>22400000</c:v>
                </c:pt>
                <c:pt idx="16">
                  <c:v>21400000</c:v>
                </c:pt>
                <c:pt idx="17">
                  <c:v>75000000</c:v>
                </c:pt>
                <c:pt idx="18">
                  <c:v>31000000</c:v>
                </c:pt>
                <c:pt idx="19">
                  <c:v>67400000</c:v>
                </c:pt>
              </c:numCache>
            </c:numRef>
          </c:val>
          <c:extLst>
            <c:ext xmlns:c16="http://schemas.microsoft.com/office/drawing/2014/chart" uri="{C3380CC4-5D6E-409C-BE32-E72D297353CC}">
              <c16:uniqueId val="{00000013-67B7-45F6-A766-D59B99057C4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rgbClr val="FFFF00">
          <a:alpha val="67000"/>
        </a:srgbClr>
      </a:solidFill>
      <a:round/>
    </a:ln>
    <a:effectLst>
      <a:outerShdw blurRad="63500" sx="102000" sy="102000" algn="ctr" rotWithShape="0">
        <a:schemeClr val="bg2">
          <a:alpha val="40000"/>
        </a:schemeClr>
      </a:outerShdw>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Github Project 1.xlsx]Pivot table!PivotTable1</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alpha val="86000"/>
            </a:srgbClr>
          </a:solidFill>
          <a:ln>
            <a:solidFill>
              <a:schemeClr val="bg1"/>
            </a:solid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214397496087636E-2"/>
          <c:y val="0.19240303295421404"/>
          <c:w val="0.96557120500782467"/>
          <c:h val="0.66509915427238264"/>
        </c:manualLayout>
      </c:layout>
      <c:barChart>
        <c:barDir val="col"/>
        <c:grouping val="clustered"/>
        <c:varyColors val="0"/>
        <c:ser>
          <c:idx val="0"/>
          <c:order val="0"/>
          <c:tx>
            <c:strRef>
              <c:f>'Pivot table'!$B$3</c:f>
              <c:strCache>
                <c:ptCount val="1"/>
                <c:pt idx="0">
                  <c:v>Sum of Males</c:v>
                </c:pt>
              </c:strCache>
            </c:strRef>
          </c:tx>
          <c:spPr>
            <a:solidFill>
              <a:schemeClr val="accent1"/>
            </a:solidFill>
            <a:ln>
              <a:noFill/>
            </a:ln>
            <a:effectLst/>
          </c:spPr>
          <c:invertIfNegative val="0"/>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table'!$B$4:$B$24</c:f>
              <c:numCache>
                <c:formatCode>General</c:formatCode>
                <c:ptCount val="20"/>
                <c:pt idx="0">
                  <c:v>10988000</c:v>
                </c:pt>
                <c:pt idx="1">
                  <c:v>8280000</c:v>
                </c:pt>
                <c:pt idx="2">
                  <c:v>24750000</c:v>
                </c:pt>
                <c:pt idx="3">
                  <c:v>13020000</c:v>
                </c:pt>
                <c:pt idx="4">
                  <c:v>38527000</c:v>
                </c:pt>
                <c:pt idx="5">
                  <c:v>10290000</c:v>
                </c:pt>
                <c:pt idx="6">
                  <c:v>11457000</c:v>
                </c:pt>
                <c:pt idx="7">
                  <c:v>9646000</c:v>
                </c:pt>
                <c:pt idx="8">
                  <c:v>16569000</c:v>
                </c:pt>
                <c:pt idx="9">
                  <c:v>13800000</c:v>
                </c:pt>
                <c:pt idx="10">
                  <c:v>16900000</c:v>
                </c:pt>
                <c:pt idx="11">
                  <c:v>12330000</c:v>
                </c:pt>
                <c:pt idx="12">
                  <c:v>13735000</c:v>
                </c:pt>
                <c:pt idx="13">
                  <c:v>9639000</c:v>
                </c:pt>
                <c:pt idx="14">
                  <c:v>31720000</c:v>
                </c:pt>
                <c:pt idx="15">
                  <c:v>13440000</c:v>
                </c:pt>
                <c:pt idx="16">
                  <c:v>10593000</c:v>
                </c:pt>
                <c:pt idx="17">
                  <c:v>32250000</c:v>
                </c:pt>
                <c:pt idx="18">
                  <c:v>13640000</c:v>
                </c:pt>
                <c:pt idx="19">
                  <c:v>34374000</c:v>
                </c:pt>
              </c:numCache>
            </c:numRef>
          </c:val>
          <c:extLst>
            <c:ext xmlns:c16="http://schemas.microsoft.com/office/drawing/2014/chart" uri="{C3380CC4-5D6E-409C-BE32-E72D297353CC}">
              <c16:uniqueId val="{00000000-3112-45D1-B8C6-4550A1D2A700}"/>
            </c:ext>
          </c:extLst>
        </c:ser>
        <c:ser>
          <c:idx val="1"/>
          <c:order val="1"/>
          <c:tx>
            <c:strRef>
              <c:f>'Pivot table'!$C$3</c:f>
              <c:strCache>
                <c:ptCount val="1"/>
                <c:pt idx="0">
                  <c:v>Sum of Children</c:v>
                </c:pt>
              </c:strCache>
            </c:strRef>
          </c:tx>
          <c:spPr>
            <a:solidFill>
              <a:srgbClr val="002060">
                <a:alpha val="86000"/>
              </a:srgbClr>
            </a:solidFill>
            <a:ln>
              <a:solidFill>
                <a:schemeClr val="bg1"/>
              </a:solidFill>
            </a:ln>
            <a:effectLst>
              <a:outerShdw blurRad="50800" dist="38100" dir="16200000" rotWithShape="0">
                <a:prstClr val="black">
                  <a:alpha val="40000"/>
                </a:prstClr>
              </a:outerShdw>
            </a:effectLst>
          </c:spPr>
          <c:invertIfNegative val="0"/>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table'!$C$4:$C$24</c:f>
              <c:numCache>
                <c:formatCode>General</c:formatCode>
                <c:ptCount val="20"/>
                <c:pt idx="0">
                  <c:v>4680000</c:v>
                </c:pt>
                <c:pt idx="1">
                  <c:v>4680000</c:v>
                </c:pt>
                <c:pt idx="2">
                  <c:v>3600000</c:v>
                </c:pt>
                <c:pt idx="3">
                  <c:v>4200000</c:v>
                </c:pt>
                <c:pt idx="4">
                  <c:v>22855000</c:v>
                </c:pt>
                <c:pt idx="5">
                  <c:v>3570000</c:v>
                </c:pt>
                <c:pt idx="6">
                  <c:v>5025000</c:v>
                </c:pt>
                <c:pt idx="7">
                  <c:v>5460000</c:v>
                </c:pt>
                <c:pt idx="8">
                  <c:v>5523000</c:v>
                </c:pt>
                <c:pt idx="9">
                  <c:v>4600000</c:v>
                </c:pt>
                <c:pt idx="10">
                  <c:v>8775000</c:v>
                </c:pt>
                <c:pt idx="11">
                  <c:v>5754000</c:v>
                </c:pt>
                <c:pt idx="12">
                  <c:v>6030000</c:v>
                </c:pt>
                <c:pt idx="13">
                  <c:v>3213000</c:v>
                </c:pt>
                <c:pt idx="14">
                  <c:v>6240000</c:v>
                </c:pt>
                <c:pt idx="15">
                  <c:v>5376000</c:v>
                </c:pt>
                <c:pt idx="16">
                  <c:v>5992000</c:v>
                </c:pt>
                <c:pt idx="17">
                  <c:v>15000000</c:v>
                </c:pt>
                <c:pt idx="18">
                  <c:v>5890000</c:v>
                </c:pt>
                <c:pt idx="19">
                  <c:v>14154000</c:v>
                </c:pt>
              </c:numCache>
            </c:numRef>
          </c:val>
          <c:extLst>
            <c:ext xmlns:c16="http://schemas.microsoft.com/office/drawing/2014/chart" uri="{C3380CC4-5D6E-409C-BE32-E72D297353CC}">
              <c16:uniqueId val="{00000001-3112-45D1-B8C6-4550A1D2A700}"/>
            </c:ext>
          </c:extLst>
        </c:ser>
        <c:dLbls>
          <c:showLegendKey val="0"/>
          <c:showVal val="0"/>
          <c:showCatName val="0"/>
          <c:showSerName val="0"/>
          <c:showPercent val="0"/>
          <c:showBubbleSize val="0"/>
        </c:dLbls>
        <c:gapWidth val="153"/>
        <c:overlap val="5"/>
        <c:axId val="2020304208"/>
        <c:axId val="2020308784"/>
      </c:barChart>
      <c:lineChart>
        <c:grouping val="standard"/>
        <c:varyColors val="0"/>
        <c:ser>
          <c:idx val="2"/>
          <c:order val="2"/>
          <c:tx>
            <c:strRef>
              <c:f>'Pivot table'!$D$3</c:f>
              <c:strCache>
                <c:ptCount val="1"/>
                <c:pt idx="0">
                  <c:v>Sum of Females</c:v>
                </c:pt>
              </c:strCache>
            </c:strRef>
          </c:tx>
          <c:spPr>
            <a:ln w="28575" cap="rnd">
              <a:solidFill>
                <a:schemeClr val="accent3"/>
              </a:solidFill>
              <a:round/>
            </a:ln>
            <a:effectLst/>
          </c:spPr>
          <c:marker>
            <c:symbol val="none"/>
          </c:marker>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table'!$D$4:$D$24</c:f>
              <c:numCache>
                <c:formatCode>General</c:formatCode>
                <c:ptCount val="20"/>
                <c:pt idx="0">
                  <c:v>12402000</c:v>
                </c:pt>
                <c:pt idx="1">
                  <c:v>9720000</c:v>
                </c:pt>
                <c:pt idx="2">
                  <c:v>20250000</c:v>
                </c:pt>
                <c:pt idx="3">
                  <c:v>7980000</c:v>
                </c:pt>
                <c:pt idx="4">
                  <c:v>26773000</c:v>
                </c:pt>
                <c:pt idx="5">
                  <c:v>10710000</c:v>
                </c:pt>
                <c:pt idx="6">
                  <c:v>8643000</c:v>
                </c:pt>
                <c:pt idx="7">
                  <c:v>8554000</c:v>
                </c:pt>
                <c:pt idx="8">
                  <c:v>9731000</c:v>
                </c:pt>
                <c:pt idx="9">
                  <c:v>9200000</c:v>
                </c:pt>
                <c:pt idx="10">
                  <c:v>15600000</c:v>
                </c:pt>
                <c:pt idx="11">
                  <c:v>15070000</c:v>
                </c:pt>
                <c:pt idx="12">
                  <c:v>19765000</c:v>
                </c:pt>
                <c:pt idx="13">
                  <c:v>9261000</c:v>
                </c:pt>
                <c:pt idx="14">
                  <c:v>20280000</c:v>
                </c:pt>
                <c:pt idx="15">
                  <c:v>8960000</c:v>
                </c:pt>
                <c:pt idx="16">
                  <c:v>10807000</c:v>
                </c:pt>
                <c:pt idx="17">
                  <c:v>42750000</c:v>
                </c:pt>
                <c:pt idx="18">
                  <c:v>17360000</c:v>
                </c:pt>
                <c:pt idx="19">
                  <c:v>33026000</c:v>
                </c:pt>
              </c:numCache>
            </c:numRef>
          </c:val>
          <c:smooth val="0"/>
          <c:extLst>
            <c:ext xmlns:c16="http://schemas.microsoft.com/office/drawing/2014/chart" uri="{C3380CC4-5D6E-409C-BE32-E72D297353CC}">
              <c16:uniqueId val="{00000002-3112-45D1-B8C6-4550A1D2A700}"/>
            </c:ext>
          </c:extLst>
        </c:ser>
        <c:ser>
          <c:idx val="3"/>
          <c:order val="3"/>
          <c:tx>
            <c:strRef>
              <c:f>'Pivot table'!$E$3</c:f>
              <c:strCache>
                <c:ptCount val="1"/>
                <c:pt idx="0">
                  <c:v>Sum of Populations</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linear"/>
            <c:dispRSqr val="0"/>
            <c:dispEq val="0"/>
          </c:trendline>
          <c:cat>
            <c:strRef>
              <c:f>'Pivot table'!$A$4:$A$24</c:f>
              <c:strCache>
                <c:ptCount val="20"/>
                <c:pt idx="0">
                  <c:v>Argentina</c:v>
                </c:pt>
                <c:pt idx="1">
                  <c:v>Bolivia</c:v>
                </c:pt>
                <c:pt idx="2">
                  <c:v>Brazil</c:v>
                </c:pt>
                <c:pt idx="3">
                  <c:v>Canada</c:v>
                </c:pt>
                <c:pt idx="4">
                  <c:v>China</c:v>
                </c:pt>
                <c:pt idx="5">
                  <c:v>Colombia</c:v>
                </c:pt>
                <c:pt idx="6">
                  <c:v>Costa Rica</c:v>
                </c:pt>
                <c:pt idx="7">
                  <c:v>Domican</c:v>
                </c:pt>
                <c:pt idx="8">
                  <c:v>Egypt</c:v>
                </c:pt>
                <c:pt idx="9">
                  <c:v>England</c:v>
                </c:pt>
                <c:pt idx="10">
                  <c:v>France</c:v>
                </c:pt>
                <c:pt idx="11">
                  <c:v>Germany</c:v>
                </c:pt>
                <c:pt idx="12">
                  <c:v>Ghana</c:v>
                </c:pt>
                <c:pt idx="13">
                  <c:v>Italy</c:v>
                </c:pt>
                <c:pt idx="14">
                  <c:v>Japan</c:v>
                </c:pt>
                <c:pt idx="15">
                  <c:v>Kenya</c:v>
                </c:pt>
                <c:pt idx="16">
                  <c:v>Morroco</c:v>
                </c:pt>
                <c:pt idx="17">
                  <c:v>Nigeria</c:v>
                </c:pt>
                <c:pt idx="18">
                  <c:v>South Africa</c:v>
                </c:pt>
                <c:pt idx="19">
                  <c:v>USA</c:v>
                </c:pt>
              </c:strCache>
            </c:strRef>
          </c:cat>
          <c:val>
            <c:numRef>
              <c:f>'Pivot table'!$E$4:$E$24</c:f>
              <c:numCache>
                <c:formatCode>General</c:formatCode>
                <c:ptCount val="20"/>
                <c:pt idx="0">
                  <c:v>23400000</c:v>
                </c:pt>
                <c:pt idx="1">
                  <c:v>18000000</c:v>
                </c:pt>
                <c:pt idx="2">
                  <c:v>45000000</c:v>
                </c:pt>
                <c:pt idx="3">
                  <c:v>21000000</c:v>
                </c:pt>
                <c:pt idx="4">
                  <c:v>65300000</c:v>
                </c:pt>
                <c:pt idx="5">
                  <c:v>21000000</c:v>
                </c:pt>
                <c:pt idx="6">
                  <c:v>20100000</c:v>
                </c:pt>
                <c:pt idx="7">
                  <c:v>18200000</c:v>
                </c:pt>
                <c:pt idx="8">
                  <c:v>26300000</c:v>
                </c:pt>
                <c:pt idx="9">
                  <c:v>23000000</c:v>
                </c:pt>
                <c:pt idx="10">
                  <c:v>32500000</c:v>
                </c:pt>
                <c:pt idx="11">
                  <c:v>27400000</c:v>
                </c:pt>
                <c:pt idx="12">
                  <c:v>33500000</c:v>
                </c:pt>
                <c:pt idx="13">
                  <c:v>18900000</c:v>
                </c:pt>
                <c:pt idx="14">
                  <c:v>52000000</c:v>
                </c:pt>
                <c:pt idx="15">
                  <c:v>22400000</c:v>
                </c:pt>
                <c:pt idx="16">
                  <c:v>21400000</c:v>
                </c:pt>
                <c:pt idx="17">
                  <c:v>75000000</c:v>
                </c:pt>
                <c:pt idx="18">
                  <c:v>31000000</c:v>
                </c:pt>
                <c:pt idx="19">
                  <c:v>67400000</c:v>
                </c:pt>
              </c:numCache>
            </c:numRef>
          </c:val>
          <c:smooth val="0"/>
          <c:extLst>
            <c:ext xmlns:c16="http://schemas.microsoft.com/office/drawing/2014/chart" uri="{C3380CC4-5D6E-409C-BE32-E72D297353CC}">
              <c16:uniqueId val="{00000003-3112-45D1-B8C6-4550A1D2A700}"/>
            </c:ext>
          </c:extLst>
        </c:ser>
        <c:dLbls>
          <c:showLegendKey val="0"/>
          <c:showVal val="0"/>
          <c:showCatName val="0"/>
          <c:showSerName val="0"/>
          <c:showPercent val="0"/>
          <c:showBubbleSize val="0"/>
        </c:dLbls>
        <c:marker val="1"/>
        <c:smooth val="0"/>
        <c:axId val="2020304208"/>
        <c:axId val="2020308784"/>
      </c:lineChart>
      <c:catAx>
        <c:axId val="2020304208"/>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08784"/>
        <c:crosses val="autoZero"/>
        <c:auto val="1"/>
        <c:lblAlgn val="ctr"/>
        <c:lblOffset val="100"/>
        <c:noMultiLvlLbl val="0"/>
      </c:catAx>
      <c:valAx>
        <c:axId val="2020308784"/>
        <c:scaling>
          <c:orientation val="minMax"/>
        </c:scaling>
        <c:delete val="0"/>
        <c:axPos val="l"/>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0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9</xdr:col>
      <xdr:colOff>1250950</xdr:colOff>
      <xdr:row>5</xdr:row>
      <xdr:rowOff>1</xdr:rowOff>
    </xdr:to>
    <mc:AlternateContent xmlns:mc="http://schemas.openxmlformats.org/markup-compatibility/2006" xmlns:sle15="http://schemas.microsoft.com/office/drawing/2012/slicer">
      <mc:Choice Requires="sle15">
        <xdr:graphicFrame macro="">
          <xdr:nvGraphicFramePr>
            <xdr:cNvPr id="2" name="countries">
              <a:extLst>
                <a:ext uri="{FF2B5EF4-FFF2-40B4-BE49-F238E27FC236}">
                  <a16:creationId xmlns:a16="http://schemas.microsoft.com/office/drawing/2014/main" id="{51ABC862-08E7-4ED1-BEC4-7B108D2C7065}"/>
                </a:ext>
              </a:extLst>
            </xdr:cNvPr>
            <xdr:cNvGraphicFramePr/>
          </xdr:nvGraphicFramePr>
          <xdr:xfrm>
            <a:off x="0" y="0"/>
            <a:ext cx="0" cy="0"/>
          </xdr:xfrm>
          <a:graphic>
            <a:graphicData uri="http://schemas.microsoft.com/office/drawing/2010/slicer">
              <sle:slicer xmlns:sle="http://schemas.microsoft.com/office/drawing/2010/slicer" name="countries"/>
            </a:graphicData>
          </a:graphic>
        </xdr:graphicFrame>
      </mc:Choice>
      <mc:Fallback xmlns="">
        <xdr:sp macro="" textlink="">
          <xdr:nvSpPr>
            <xdr:cNvPr id="0" name=""/>
            <xdr:cNvSpPr>
              <a:spLocks noTextEdit="1"/>
            </xdr:cNvSpPr>
          </xdr:nvSpPr>
          <xdr:spPr>
            <a:xfrm>
              <a:off x="0" y="1"/>
              <a:ext cx="10928350" cy="920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234950</xdr:colOff>
      <xdr:row>0</xdr:row>
      <xdr:rowOff>31750</xdr:rowOff>
    </xdr:from>
    <xdr:to>
      <xdr:col>8</xdr:col>
      <xdr:colOff>387350</xdr:colOff>
      <xdr:row>31</xdr:row>
      <xdr:rowOff>127000</xdr:rowOff>
    </xdr:to>
    <mc:AlternateContent xmlns:mc="http://schemas.openxmlformats.org/markup-compatibility/2006">
      <mc:Choice xmlns:a14="http://schemas.microsoft.com/office/drawing/2010/main" Requires="a14">
        <xdr:graphicFrame macro="">
          <xdr:nvGraphicFramePr>
            <xdr:cNvPr id="3" name="Countries 1">
              <a:extLst>
                <a:ext uri="{FF2B5EF4-FFF2-40B4-BE49-F238E27FC236}">
                  <a16:creationId xmlns:a16="http://schemas.microsoft.com/office/drawing/2014/main" id="{C9B68E80-DCB5-4877-91C3-324CF1361932}"/>
                </a:ext>
              </a:extLst>
            </xdr:cNvPr>
            <xdr:cNvGraphicFramePr/>
          </xdr:nvGraphicFramePr>
          <xdr:xfrm>
            <a:off x="0" y="0"/>
            <a:ext cx="0" cy="0"/>
          </xdr:xfrm>
          <a:graphic>
            <a:graphicData uri="http://schemas.microsoft.com/office/drawing/2010/slicer">
              <sle:slicer xmlns:sle="http://schemas.microsoft.com/office/drawing/2010/slicer" name="Countries 1"/>
            </a:graphicData>
          </a:graphic>
        </xdr:graphicFrame>
      </mc:Choice>
      <mc:Fallback>
        <xdr:sp macro="" textlink="">
          <xdr:nvSpPr>
            <xdr:cNvPr id="0" name=""/>
            <xdr:cNvSpPr>
              <a:spLocks noTextEdit="1"/>
            </xdr:cNvSpPr>
          </xdr:nvSpPr>
          <xdr:spPr>
            <a:xfrm>
              <a:off x="5016500" y="31750"/>
              <a:ext cx="1981200" cy="580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393700</xdr:colOff>
      <xdr:row>0</xdr:row>
      <xdr:rowOff>50800</xdr:rowOff>
    </xdr:from>
    <xdr:to>
      <xdr:col>11</xdr:col>
      <xdr:colOff>393700</xdr:colOff>
      <xdr:row>31</xdr:row>
      <xdr:rowOff>127000</xdr:rowOff>
    </xdr:to>
    <mc:AlternateContent xmlns:mc="http://schemas.openxmlformats.org/markup-compatibility/2006">
      <mc:Choice xmlns:a14="http://schemas.microsoft.com/office/drawing/2010/main" Requires="a14">
        <xdr:graphicFrame macro="">
          <xdr:nvGraphicFramePr>
            <xdr:cNvPr id="4" name="Males">
              <a:extLst>
                <a:ext uri="{FF2B5EF4-FFF2-40B4-BE49-F238E27FC236}">
                  <a16:creationId xmlns:a16="http://schemas.microsoft.com/office/drawing/2014/main" id="{F50E9E77-9177-4657-BFBB-26B54312E2E1}"/>
                </a:ext>
              </a:extLst>
            </xdr:cNvPr>
            <xdr:cNvGraphicFramePr/>
          </xdr:nvGraphicFramePr>
          <xdr:xfrm>
            <a:off x="0" y="0"/>
            <a:ext cx="0" cy="0"/>
          </xdr:xfrm>
          <a:graphic>
            <a:graphicData uri="http://schemas.microsoft.com/office/drawing/2010/slicer">
              <sle:slicer xmlns:sle="http://schemas.microsoft.com/office/drawing/2010/slicer" name="Males"/>
            </a:graphicData>
          </a:graphic>
        </xdr:graphicFrame>
      </mc:Choice>
      <mc:Fallback>
        <xdr:sp macro="" textlink="">
          <xdr:nvSpPr>
            <xdr:cNvPr id="0" name=""/>
            <xdr:cNvSpPr>
              <a:spLocks noTextEdit="1"/>
            </xdr:cNvSpPr>
          </xdr:nvSpPr>
          <xdr:spPr>
            <a:xfrm>
              <a:off x="7004050" y="50800"/>
              <a:ext cx="1828800" cy="578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0</xdr:row>
      <xdr:rowOff>31750</xdr:rowOff>
    </xdr:from>
    <xdr:to>
      <xdr:col>14</xdr:col>
      <xdr:colOff>419100</xdr:colOff>
      <xdr:row>31</xdr:row>
      <xdr:rowOff>88900</xdr:rowOff>
    </xdr:to>
    <mc:AlternateContent xmlns:mc="http://schemas.openxmlformats.org/markup-compatibility/2006">
      <mc:Choice xmlns:a14="http://schemas.microsoft.com/office/drawing/2010/main" Requires="a14">
        <xdr:graphicFrame macro="">
          <xdr:nvGraphicFramePr>
            <xdr:cNvPr id="5" name="Females">
              <a:extLst>
                <a:ext uri="{FF2B5EF4-FFF2-40B4-BE49-F238E27FC236}">
                  <a16:creationId xmlns:a16="http://schemas.microsoft.com/office/drawing/2014/main" id="{588F1AC1-9479-4881-A799-370AA0CE4EB7}"/>
                </a:ext>
              </a:extLst>
            </xdr:cNvPr>
            <xdr:cNvGraphicFramePr/>
          </xdr:nvGraphicFramePr>
          <xdr:xfrm>
            <a:off x="0" y="0"/>
            <a:ext cx="0" cy="0"/>
          </xdr:xfrm>
          <a:graphic>
            <a:graphicData uri="http://schemas.microsoft.com/office/drawing/2010/slicer">
              <sle:slicer xmlns:sle="http://schemas.microsoft.com/office/drawing/2010/slicer" name="Females"/>
            </a:graphicData>
          </a:graphic>
        </xdr:graphicFrame>
      </mc:Choice>
      <mc:Fallback>
        <xdr:sp macro="" textlink="">
          <xdr:nvSpPr>
            <xdr:cNvPr id="0" name=""/>
            <xdr:cNvSpPr>
              <a:spLocks noTextEdit="1"/>
            </xdr:cNvSpPr>
          </xdr:nvSpPr>
          <xdr:spPr>
            <a:xfrm>
              <a:off x="8858250" y="31750"/>
              <a:ext cx="1828800" cy="576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241300</xdr:colOff>
      <xdr:row>16</xdr:row>
      <xdr:rowOff>177800</xdr:rowOff>
    </xdr:to>
    <xdr:graphicFrame macro="">
      <xdr:nvGraphicFramePr>
        <xdr:cNvPr id="2" name="Chart 1">
          <a:extLst>
            <a:ext uri="{FF2B5EF4-FFF2-40B4-BE49-F238E27FC236}">
              <a16:creationId xmlns:a16="http://schemas.microsoft.com/office/drawing/2014/main" id="{319D64DC-7AD4-4328-9EB0-09F49CDAB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0</xdr:row>
      <xdr:rowOff>0</xdr:rowOff>
    </xdr:from>
    <xdr:to>
      <xdr:col>19</xdr:col>
      <xdr:colOff>107950</xdr:colOff>
      <xdr:row>17</xdr:row>
      <xdr:rowOff>12700</xdr:rowOff>
    </xdr:to>
    <xdr:graphicFrame macro="">
      <xdr:nvGraphicFramePr>
        <xdr:cNvPr id="4" name="Chart 3">
          <a:extLst>
            <a:ext uri="{FF2B5EF4-FFF2-40B4-BE49-F238E27FC236}">
              <a16:creationId xmlns:a16="http://schemas.microsoft.com/office/drawing/2014/main" id="{EB4463FA-8980-4F97-B11A-C2C575793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0</xdr:colOff>
      <xdr:row>17</xdr:row>
      <xdr:rowOff>133350</xdr:rowOff>
    </xdr:from>
    <xdr:to>
      <xdr:col>19</xdr:col>
      <xdr:colOff>50800</xdr:colOff>
      <xdr:row>35</xdr:row>
      <xdr:rowOff>44450</xdr:rowOff>
    </xdr:to>
    <xdr:graphicFrame macro="">
      <xdr:nvGraphicFramePr>
        <xdr:cNvPr id="5" name="Chart 4">
          <a:extLst>
            <a:ext uri="{FF2B5EF4-FFF2-40B4-BE49-F238E27FC236}">
              <a16:creationId xmlns:a16="http://schemas.microsoft.com/office/drawing/2014/main" id="{F9179B6D-E057-4996-8515-2C9853D21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7.66672361111" createdVersion="7" refreshedVersion="7" minRefreshableVersion="3" recordCount="20" xr:uid="{DACD602E-707D-464A-9B53-CE7A2B637312}">
  <cacheSource type="worksheet">
    <worksheetSource name="Table4[[Countries]:[Children]]"/>
  </cacheSource>
  <cacheFields count="9">
    <cacheField name="Countries" numFmtId="0">
      <sharedItems count="20">
        <s v="Brazil"/>
        <s v="Argentina"/>
        <s v="Nigeria"/>
        <s v="Ghana"/>
        <s v="South Africa"/>
        <s v="Italy"/>
        <s v="China"/>
        <s v="Japan"/>
        <s v="Germany"/>
        <s v="Kenya"/>
        <s v="Colombia"/>
        <s v="England"/>
        <s v="France"/>
        <s v="Morroco"/>
        <s v="Egypt"/>
        <s v="Canada"/>
        <s v="USA"/>
        <s v="Bolivia"/>
        <s v="Domican"/>
        <s v="Costa Rica"/>
      </sharedItems>
    </cacheField>
    <cacheField name="Continent" numFmtId="0">
      <sharedItems count="5">
        <s v="South America"/>
        <s v="Africa"/>
        <s v="Europe"/>
        <s v="Asia"/>
        <s v="North America"/>
      </sharedItems>
    </cacheField>
    <cacheField name="Populations" numFmtId="3">
      <sharedItems containsSemiMixedTypes="0" containsString="0" containsNumber="1" containsInteger="1" minValue="18000000" maxValue="75000000"/>
    </cacheField>
    <cacheField name="Males" numFmtId="3">
      <sharedItems containsSemiMixedTypes="0" containsString="0" containsNumber="1" containsInteger="1" minValue="8280000" maxValue="38527000" count="20">
        <n v="24750000"/>
        <n v="10988000"/>
        <n v="32250000"/>
        <n v="13735000"/>
        <n v="13640000"/>
        <n v="9639000"/>
        <n v="38527000"/>
        <n v="31720000"/>
        <n v="12330000"/>
        <n v="13440000"/>
        <n v="10290000"/>
        <n v="13800000"/>
        <n v="16900000"/>
        <n v="10593000"/>
        <n v="16569000"/>
        <n v="13020000"/>
        <n v="34374000"/>
        <n v="8280000"/>
        <n v="9646000"/>
        <n v="11457000"/>
      </sharedItems>
    </cacheField>
    <cacheField name="Females" numFmtId="3">
      <sharedItems containsSemiMixedTypes="0" containsString="0" containsNumber="1" containsInteger="1" minValue="7980000" maxValue="42750000" count="20">
        <n v="20250000"/>
        <n v="12402000"/>
        <n v="42750000"/>
        <n v="19765000"/>
        <n v="17360000"/>
        <n v="9261000"/>
        <n v="26773000"/>
        <n v="20280000"/>
        <n v="15070000"/>
        <n v="8960000"/>
        <n v="10710000"/>
        <n v="9200000"/>
        <n v="15600000"/>
        <n v="10807000"/>
        <n v="9731000"/>
        <n v="7980000"/>
        <n v="33026000"/>
        <n v="9720000"/>
        <n v="8554000"/>
        <n v="8643000"/>
      </sharedItems>
    </cacheField>
    <cacheField name="Senior Citizens" numFmtId="3">
      <sharedItems containsSemiMixedTypes="0" containsString="0" containsNumber="1" containsInteger="1" minValue="3094000" maxValue="20250000"/>
    </cacheField>
    <cacheField name="Major Citizens" numFmtId="3">
      <sharedItems containsSemiMixedTypes="0" containsString="0" containsNumber="1" containsInteger="1" minValue="5580000" maxValue="30000000"/>
    </cacheField>
    <cacheField name="Minor Citizens" numFmtId="3">
      <sharedItems containsSemiMixedTypes="0" containsString="0" containsNumber="1" containsInteger="1" minValue="1638000" maxValue="11458000"/>
    </cacheField>
    <cacheField name="Children" numFmtId="3">
      <sharedItems containsSemiMixedTypes="0" containsString="0" containsNumber="1" containsInteger="1" minValue="3213000" maxValue="22855000"/>
    </cacheField>
  </cacheFields>
  <extLst>
    <ext xmlns:x14="http://schemas.microsoft.com/office/spreadsheetml/2009/9/main" uri="{725AE2AE-9491-48be-B2B4-4EB974FC3084}">
      <x14:pivotCacheDefinition pivotCacheId="2084204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45000000"/>
    <x v="0"/>
    <x v="0"/>
    <n v="15750000"/>
    <n v="20250000"/>
    <n v="5400000"/>
    <n v="3600000"/>
  </r>
  <r>
    <x v="1"/>
    <x v="0"/>
    <n v="23400000"/>
    <x v="1"/>
    <x v="1"/>
    <n v="7254000"/>
    <n v="9828000"/>
    <n v="1638000"/>
    <n v="4680000"/>
  </r>
  <r>
    <x v="2"/>
    <x v="1"/>
    <n v="75000000"/>
    <x v="2"/>
    <x v="2"/>
    <n v="20250000"/>
    <n v="30000000"/>
    <n v="9750000"/>
    <n v="15000000"/>
  </r>
  <r>
    <x v="3"/>
    <x v="1"/>
    <n v="33500000"/>
    <x v="3"/>
    <x v="3"/>
    <n v="10385000"/>
    <n v="13735000"/>
    <n v="3350000"/>
    <n v="6030000"/>
  </r>
  <r>
    <x v="4"/>
    <x v="1"/>
    <n v="31000000"/>
    <x v="4"/>
    <x v="4"/>
    <n v="8680000"/>
    <n v="10230000"/>
    <n v="6510000"/>
    <n v="5890000"/>
  </r>
  <r>
    <x v="5"/>
    <x v="2"/>
    <n v="18900000"/>
    <x v="5"/>
    <x v="5"/>
    <n v="5670000"/>
    <n v="7560000"/>
    <n v="2457000"/>
    <n v="3213000"/>
  </r>
  <r>
    <x v="6"/>
    <x v="3"/>
    <n v="65300000"/>
    <x v="6"/>
    <x v="6"/>
    <n v="13713000"/>
    <n v="24161000"/>
    <n v="9142000"/>
    <n v="22855000"/>
  </r>
  <r>
    <x v="7"/>
    <x v="3"/>
    <n v="52000000"/>
    <x v="7"/>
    <x v="7"/>
    <n v="17160000"/>
    <n v="19760000"/>
    <n v="8320000"/>
    <n v="6240000"/>
  </r>
  <r>
    <x v="8"/>
    <x v="2"/>
    <n v="27400000"/>
    <x v="8"/>
    <x v="8"/>
    <n v="8494000"/>
    <n v="10960000"/>
    <n v="2192000"/>
    <n v="5754000"/>
  </r>
  <r>
    <x v="9"/>
    <x v="1"/>
    <n v="22400000"/>
    <x v="9"/>
    <x v="9"/>
    <n v="4928000"/>
    <n v="8736000"/>
    <n v="3360000"/>
    <n v="5376000"/>
  </r>
  <r>
    <x v="10"/>
    <x v="0"/>
    <n v="21000000"/>
    <x v="10"/>
    <x v="10"/>
    <n v="7140000"/>
    <n v="7770000"/>
    <n v="2310000"/>
    <n v="3570000"/>
  </r>
  <r>
    <x v="11"/>
    <x v="2"/>
    <n v="23000000"/>
    <x v="11"/>
    <x v="11"/>
    <n v="7360000"/>
    <n v="8050000"/>
    <n v="2990000"/>
    <n v="4600000"/>
  </r>
  <r>
    <x v="12"/>
    <x v="2"/>
    <n v="32500000"/>
    <x v="12"/>
    <x v="12"/>
    <n v="6175000"/>
    <n v="13000000"/>
    <n v="5850000"/>
    <n v="8775000"/>
  </r>
  <r>
    <x v="13"/>
    <x v="1"/>
    <n v="21400000"/>
    <x v="13"/>
    <x v="13"/>
    <n v="3638000"/>
    <n v="7490000"/>
    <n v="4280000"/>
    <n v="5992000"/>
  </r>
  <r>
    <x v="14"/>
    <x v="1"/>
    <n v="26300000"/>
    <x v="14"/>
    <x v="14"/>
    <n v="5523000"/>
    <n v="8416000"/>
    <n v="6838000"/>
    <n v="5523000"/>
  </r>
  <r>
    <x v="15"/>
    <x v="4"/>
    <n v="21000000"/>
    <x v="15"/>
    <x v="15"/>
    <n v="5250000"/>
    <n v="6300000"/>
    <n v="5250000"/>
    <n v="4200000"/>
  </r>
  <r>
    <x v="16"/>
    <x v="4"/>
    <n v="67400000"/>
    <x v="16"/>
    <x v="16"/>
    <n v="19546000"/>
    <n v="22242000"/>
    <n v="11458000"/>
    <n v="14154000"/>
  </r>
  <r>
    <x v="17"/>
    <x v="0"/>
    <n v="18000000"/>
    <x v="17"/>
    <x v="17"/>
    <n v="3240000"/>
    <n v="5580000"/>
    <n v="4500000"/>
    <n v="4680000"/>
  </r>
  <r>
    <x v="18"/>
    <x v="4"/>
    <n v="18200000"/>
    <x v="18"/>
    <x v="18"/>
    <n v="3094000"/>
    <n v="5642000"/>
    <n v="4004000"/>
    <n v="5460000"/>
  </r>
  <r>
    <x v="19"/>
    <x v="4"/>
    <n v="20100000"/>
    <x v="19"/>
    <x v="19"/>
    <n v="4422000"/>
    <n v="6633000"/>
    <n v="4020000"/>
    <n v="502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7B981E-F6A4-46B4-8945-2A330520AF18}"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rowHeaderCaption="Country">
  <location ref="A3:E24" firstHeaderRow="0" firstDataRow="1" firstDataCol="1" rowPageCount="1" colPageCount="1"/>
  <pivotFields count="9">
    <pivotField axis="axisRow" showAll="0">
      <items count="21">
        <item x="1"/>
        <item x="17"/>
        <item x="0"/>
        <item x="15"/>
        <item x="6"/>
        <item x="10"/>
        <item x="19"/>
        <item x="18"/>
        <item x="14"/>
        <item x="11"/>
        <item x="12"/>
        <item x="8"/>
        <item x="3"/>
        <item x="5"/>
        <item x="7"/>
        <item x="9"/>
        <item x="13"/>
        <item x="2"/>
        <item x="4"/>
        <item x="16"/>
        <item t="default"/>
      </items>
    </pivotField>
    <pivotField axis="axisPage" showAll="0">
      <items count="6">
        <item x="1"/>
        <item x="3"/>
        <item x="2"/>
        <item x="4"/>
        <item x="0"/>
        <item t="default"/>
      </items>
    </pivotField>
    <pivotField dataField="1" numFmtId="3" showAll="0"/>
    <pivotField dataField="1" numFmtId="3" showAll="0">
      <items count="21">
        <item x="17"/>
        <item x="5"/>
        <item x="18"/>
        <item x="10"/>
        <item x="13"/>
        <item x="1"/>
        <item x="19"/>
        <item x="8"/>
        <item x="15"/>
        <item x="9"/>
        <item x="4"/>
        <item x="3"/>
        <item x="11"/>
        <item x="14"/>
        <item x="12"/>
        <item x="0"/>
        <item x="7"/>
        <item x="2"/>
        <item x="16"/>
        <item x="6"/>
        <item t="default"/>
      </items>
    </pivotField>
    <pivotField dataField="1" numFmtId="3" showAll="0">
      <items count="21">
        <item x="15"/>
        <item x="18"/>
        <item x="19"/>
        <item x="9"/>
        <item x="11"/>
        <item x="5"/>
        <item x="17"/>
        <item x="14"/>
        <item x="10"/>
        <item x="13"/>
        <item x="1"/>
        <item x="8"/>
        <item x="12"/>
        <item x="4"/>
        <item x="3"/>
        <item x="0"/>
        <item x="7"/>
        <item x="6"/>
        <item x="16"/>
        <item x="2"/>
        <item t="default"/>
      </items>
    </pivotField>
    <pivotField numFmtId="3" showAll="0"/>
    <pivotField numFmtId="3" showAll="0"/>
    <pivotField numFmtId="3" showAll="0"/>
    <pivotField dataField="1" numFmtId="3"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4">
    <i>
      <x/>
    </i>
    <i i="1">
      <x v="1"/>
    </i>
    <i i="2">
      <x v="2"/>
    </i>
    <i i="3">
      <x v="3"/>
    </i>
  </colItems>
  <pageFields count="1">
    <pageField fld="1" hier="-1"/>
  </pageFields>
  <dataFields count="4">
    <dataField name="Sum of Males" fld="3" baseField="0" baseItem="0"/>
    <dataField name="Sum of Children" fld="8" baseField="0" baseItem="0"/>
    <dataField name="Sum of Females" fld="4" baseField="0" baseItem="0"/>
    <dataField name="Sum of Populations" fld="2" baseField="0" baseItem="0"/>
  </dataFields>
  <chartFormats count="24">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0" count="1" selected="0">
            <x v="0"/>
          </reference>
        </references>
      </pivotArea>
    </chartFormat>
    <chartFormat chart="11" format="18">
      <pivotArea type="data" outline="0" fieldPosition="0">
        <references count="2">
          <reference field="4294967294" count="1" selected="0">
            <x v="0"/>
          </reference>
          <reference field="0" count="1" selected="0">
            <x v="2"/>
          </reference>
        </references>
      </pivotArea>
    </chartFormat>
    <chartFormat chart="11" format="19" series="1">
      <pivotArea type="data" outline="0" fieldPosition="0">
        <references count="1">
          <reference field="4294967294" count="1" selected="0">
            <x v="1"/>
          </reference>
        </references>
      </pivotArea>
    </chartFormat>
    <chartFormat chart="11" format="20">
      <pivotArea type="data" outline="0" fieldPosition="0">
        <references count="2">
          <reference field="4294967294" count="1" selected="0">
            <x v="1"/>
          </reference>
          <reference field="0" count="1" selected="0">
            <x v="0"/>
          </reference>
        </references>
      </pivotArea>
    </chartFormat>
    <chartFormat chart="11" format="21">
      <pivotArea type="data" outline="0" fieldPosition="0">
        <references count="2">
          <reference field="4294967294" count="1" selected="0">
            <x v="1"/>
          </reference>
          <reference field="0" count="1" selected="0">
            <x v="2"/>
          </reference>
        </references>
      </pivotArea>
    </chartFormat>
    <chartFormat chart="11" format="22" series="1">
      <pivotArea type="data" outline="0" fieldPosition="0">
        <references count="1">
          <reference field="4294967294" count="1" selected="0">
            <x v="2"/>
          </reference>
        </references>
      </pivotArea>
    </chartFormat>
    <chartFormat chart="11" format="23">
      <pivotArea type="data" outline="0" fieldPosition="0">
        <references count="2">
          <reference field="4294967294" count="1" selected="0">
            <x v="2"/>
          </reference>
          <reference field="0" count="1" selected="0">
            <x v="0"/>
          </reference>
        </references>
      </pivotArea>
    </chartFormat>
    <chartFormat chart="11" format="24">
      <pivotArea type="data" outline="0" fieldPosition="0">
        <references count="2">
          <reference field="4294967294" count="1" selected="0">
            <x v="2"/>
          </reference>
          <reference field="0" count="1" selected="0">
            <x v="2"/>
          </reference>
        </references>
      </pivotArea>
    </chartFormat>
    <chartFormat chart="11" format="25" series="1">
      <pivotArea type="data" outline="0" fieldPosition="0">
        <references count="1">
          <reference field="4294967294" count="1" selected="0">
            <x v="3"/>
          </reference>
        </references>
      </pivotArea>
    </chartFormat>
    <chartFormat chart="11" format="26">
      <pivotArea type="data" outline="0" fieldPosition="0">
        <references count="2">
          <reference field="4294967294" count="1" selected="0">
            <x v="3"/>
          </reference>
          <reference field="0" count="1" selected="0">
            <x v="0"/>
          </reference>
        </references>
      </pivotArea>
    </chartFormat>
    <chartFormat chart="11" format="27">
      <pivotArea type="data" outline="0" fieldPosition="0">
        <references count="2">
          <reference field="4294967294" count="1" selected="0">
            <x v="3"/>
          </reference>
          <reference field="0"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 chart="20" format="10" series="1">
      <pivotArea type="data" outline="0" fieldPosition="0">
        <references count="1">
          <reference field="4294967294" count="1" selected="0">
            <x v="2"/>
          </reference>
        </references>
      </pivotArea>
    </chartFormat>
    <chartFormat chart="20"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ies1" xr10:uid="{363A7C30-E963-4650-A67B-86B49C71B22E}" sourceName="Countries">
  <pivotTables>
    <pivotTable tabId="4" name="PivotTable1"/>
  </pivotTables>
  <data>
    <tabular pivotCacheId="2084204725">
      <items count="20">
        <i x="1" s="1"/>
        <i x="17" s="1"/>
        <i x="0" s="1"/>
        <i x="15" s="1"/>
        <i x="6" s="1"/>
        <i x="10" s="1"/>
        <i x="19" s="1"/>
        <i x="18" s="1"/>
        <i x="14" s="1"/>
        <i x="11" s="1"/>
        <i x="12" s="1"/>
        <i x="8" s="1"/>
        <i x="3" s="1"/>
        <i x="5" s="1"/>
        <i x="7" s="1"/>
        <i x="9" s="1"/>
        <i x="13" s="1"/>
        <i x="2" s="1"/>
        <i x="4"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es" xr10:uid="{EBB05365-EC17-4E27-8C7B-47AECC1D83B0}" sourceName="Males">
  <pivotTables>
    <pivotTable tabId="4" name="PivotTable1"/>
  </pivotTables>
  <data>
    <tabular pivotCacheId="2084204725">
      <items count="20">
        <i x="17" s="1"/>
        <i x="5" s="1"/>
        <i x="18" s="1"/>
        <i x="10" s="1"/>
        <i x="13" s="1"/>
        <i x="1" s="1"/>
        <i x="19" s="1"/>
        <i x="8" s="1"/>
        <i x="15" s="1"/>
        <i x="9" s="1"/>
        <i x="4" s="1"/>
        <i x="3" s="1"/>
        <i x="11" s="1"/>
        <i x="14" s="1"/>
        <i x="12" s="1"/>
        <i x="0" s="1"/>
        <i x="7" s="1"/>
        <i x="2" s="1"/>
        <i x="16"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males" xr10:uid="{7F25F4D5-6069-41B2-A63B-10CDD7EDDD0D}" sourceName="Females">
  <pivotTables>
    <pivotTable tabId="4" name="PivotTable1"/>
  </pivotTables>
  <data>
    <tabular pivotCacheId="2084204725">
      <items count="20">
        <i x="15" s="1"/>
        <i x="18" s="1"/>
        <i x="19" s="1"/>
        <i x="9" s="1"/>
        <i x="11" s="1"/>
        <i x="5" s="1"/>
        <i x="17" s="1"/>
        <i x="14" s="1"/>
        <i x="10" s="1"/>
        <i x="13" s="1"/>
        <i x="1" s="1"/>
        <i x="8" s="1"/>
        <i x="12" s="1"/>
        <i x="4" s="1"/>
        <i x="3" s="1"/>
        <i x="0" s="1"/>
        <i x="7" s="1"/>
        <i x="6" s="1"/>
        <i x="16"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ies" xr10:uid="{6E4BFD91-3E4B-4236-949A-DDE8F59F5AE7}" sourceName="Countries">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ies" xr10:uid="{97E0C14E-673A-4962-9667-60B121F1B324}" cache="Slicer_Countries" caption="Countries" columnCount="2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ies 1" xr10:uid="{94AB8D2D-EC29-4799-96E4-B08523B8F319}" cache="Slicer_Countries1" caption="Countries" rowHeight="241300"/>
  <slicer name="Males" xr10:uid="{35BE8FE6-7965-4CDF-9879-F094629D1711}" cache="Slicer_Males" caption="Males" rowHeight="241300"/>
  <slicer name="Females" xr10:uid="{2D215B05-AE8F-4C70-ADB3-161611A33953}" cache="Slicer_Females" caption="Fema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3E4F59-CC1D-4A5A-AFEB-53F974F699A0}" name="Table4" displayName="Table4" ref="A7:J27" totalsRowShown="0" headerRowDxfId="13" headerRowBorderDxfId="12" tableBorderDxfId="11" totalsRowBorderDxfId="10">
  <autoFilter ref="A7:J27" xr:uid="{283E4F59-CC1D-4A5A-AFEB-53F974F699A0}"/>
  <tableColumns count="10">
    <tableColumn id="1" xr3:uid="{232B3B04-1EFA-476A-B82F-0865F2C3A3B7}" name="ID" dataDxfId="9"/>
    <tableColumn id="2" xr3:uid="{F6560C6D-F7A5-4A80-BAA1-46B32406BFCC}" name="Countries" dataDxfId="8"/>
    <tableColumn id="3" xr3:uid="{FEAF089E-FFF2-4DE7-86E9-1B3C3D598139}" name="Continent" dataDxfId="7"/>
    <tableColumn id="4" xr3:uid="{147FC3CF-682D-4A23-94A3-E771F784BE92}" name="Populations" dataDxfId="6"/>
    <tableColumn id="5" xr3:uid="{8499922A-0DF9-45F1-8BC5-D08FD914BE75}" name="Males" dataDxfId="5"/>
    <tableColumn id="6" xr3:uid="{AA5EA961-B069-440B-A022-B95A7A902B1D}" name="Females" dataDxfId="4"/>
    <tableColumn id="7" xr3:uid="{FFDDAAA1-5F49-4B83-9129-FA32217B3C88}" name="Senior Citizens" dataDxfId="3"/>
    <tableColumn id="8" xr3:uid="{7D98887E-88D0-4C86-BB1B-B19489F9CBC0}" name="Major Citizens" dataDxfId="2"/>
    <tableColumn id="9" xr3:uid="{C4B95069-946F-4C23-9B55-22B12AA1643A}" name="Minor Citizens" dataDxfId="1"/>
    <tableColumn id="10" xr3:uid="{C5F40860-3419-4BC0-BDD5-AA3C7631D637}" name="Childr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AD1C-8AA4-4A74-8AA2-00FC4D061268}">
  <dimension ref="A1:J29"/>
  <sheetViews>
    <sheetView topLeftCell="A11" workbookViewId="0">
      <selection activeCell="B6" sqref="B1:B1048576"/>
    </sheetView>
  </sheetViews>
  <sheetFormatPr defaultRowHeight="14.5" x14ac:dyDescent="0.35"/>
  <cols>
    <col min="2" max="2" width="17.7265625" customWidth="1"/>
    <col min="3" max="3" width="16.81640625" customWidth="1"/>
    <col min="4" max="4" width="17.453125" customWidth="1"/>
    <col min="5" max="5" width="14.54296875" customWidth="1"/>
    <col min="6" max="6" width="15.1796875" customWidth="1"/>
    <col min="7" max="7" width="16.26953125" customWidth="1"/>
    <col min="8" max="8" width="15.81640625" customWidth="1"/>
    <col min="9" max="9" width="16" customWidth="1"/>
    <col min="10" max="10" width="18" customWidth="1"/>
  </cols>
  <sheetData>
    <row r="1" spans="1:10" x14ac:dyDescent="0.35">
      <c r="A1" s="14"/>
      <c r="B1" s="14"/>
      <c r="C1" s="14"/>
      <c r="D1" s="14"/>
      <c r="E1" s="14"/>
      <c r="F1" s="14"/>
      <c r="G1" s="14"/>
      <c r="H1" s="14"/>
      <c r="I1" s="14"/>
      <c r="J1" s="14"/>
    </row>
    <row r="2" spans="1:10" x14ac:dyDescent="0.35">
      <c r="A2" s="14"/>
      <c r="B2" s="14"/>
      <c r="C2" s="14"/>
      <c r="D2" s="14"/>
      <c r="E2" s="14"/>
      <c r="F2" s="14"/>
      <c r="G2" s="14"/>
      <c r="H2" s="14"/>
      <c r="I2" s="14"/>
      <c r="J2" s="14"/>
    </row>
    <row r="3" spans="1:10" x14ac:dyDescent="0.35">
      <c r="A3" s="14"/>
      <c r="B3" s="14"/>
      <c r="C3" s="14"/>
      <c r="D3" s="14"/>
      <c r="E3" s="14"/>
      <c r="F3" s="14"/>
      <c r="G3" s="14"/>
      <c r="H3" s="14"/>
      <c r="I3" s="14"/>
      <c r="J3" s="14"/>
    </row>
    <row r="4" spans="1:10" x14ac:dyDescent="0.35">
      <c r="A4" s="14"/>
      <c r="B4" s="14"/>
      <c r="C4" s="14"/>
      <c r="D4" s="14"/>
      <c r="E4" s="14"/>
      <c r="F4" s="14"/>
      <c r="G4" s="14"/>
      <c r="H4" s="14"/>
      <c r="I4" s="14"/>
      <c r="J4" s="14"/>
    </row>
    <row r="5" spans="1:10" x14ac:dyDescent="0.35">
      <c r="A5" s="14"/>
      <c r="B5" s="14"/>
      <c r="C5" s="14"/>
      <c r="D5" s="14"/>
      <c r="E5" s="14"/>
      <c r="F5" s="14"/>
      <c r="G5" s="14"/>
      <c r="H5" s="14"/>
      <c r="I5" s="14"/>
      <c r="J5" s="14"/>
    </row>
    <row r="7" spans="1:10" x14ac:dyDescent="0.35">
      <c r="A7" s="2" t="s">
        <v>0</v>
      </c>
      <c r="B7" s="3" t="s">
        <v>1</v>
      </c>
      <c r="C7" s="3" t="s">
        <v>2</v>
      </c>
      <c r="D7" s="3" t="s">
        <v>3</v>
      </c>
      <c r="E7" s="3" t="s">
        <v>4</v>
      </c>
      <c r="F7" s="3" t="s">
        <v>5</v>
      </c>
      <c r="G7" s="3" t="s">
        <v>6</v>
      </c>
      <c r="H7" s="3" t="s">
        <v>7</v>
      </c>
      <c r="I7" s="3" t="s">
        <v>8</v>
      </c>
      <c r="J7" s="4" t="s">
        <v>9</v>
      </c>
    </row>
    <row r="8" spans="1:10" x14ac:dyDescent="0.35">
      <c r="A8" s="5">
        <v>1</v>
      </c>
      <c r="B8" s="6" t="s">
        <v>10</v>
      </c>
      <c r="C8" s="6" t="s">
        <v>11</v>
      </c>
      <c r="D8" s="7">
        <v>45000000</v>
      </c>
      <c r="E8" s="7">
        <v>24750000</v>
      </c>
      <c r="F8" s="7">
        <v>20250000</v>
      </c>
      <c r="G8" s="7">
        <v>15750000</v>
      </c>
      <c r="H8" s="7">
        <v>20250000</v>
      </c>
      <c r="I8" s="7">
        <v>5400000</v>
      </c>
      <c r="J8" s="8">
        <v>3600000</v>
      </c>
    </row>
    <row r="9" spans="1:10" x14ac:dyDescent="0.35">
      <c r="A9" s="5">
        <v>2</v>
      </c>
      <c r="B9" s="6" t="s">
        <v>12</v>
      </c>
      <c r="C9" s="6" t="s">
        <v>11</v>
      </c>
      <c r="D9" s="7">
        <v>23400000</v>
      </c>
      <c r="E9" s="7">
        <v>10988000</v>
      </c>
      <c r="F9" s="7">
        <v>12402000</v>
      </c>
      <c r="G9" s="7">
        <v>7254000</v>
      </c>
      <c r="H9" s="7">
        <v>9828000</v>
      </c>
      <c r="I9" s="7">
        <v>1638000</v>
      </c>
      <c r="J9" s="8">
        <v>4680000</v>
      </c>
    </row>
    <row r="10" spans="1:10" x14ac:dyDescent="0.35">
      <c r="A10" s="5">
        <v>3</v>
      </c>
      <c r="B10" s="6" t="s">
        <v>13</v>
      </c>
      <c r="C10" s="6" t="s">
        <v>14</v>
      </c>
      <c r="D10" s="7">
        <v>75000000</v>
      </c>
      <c r="E10" s="7">
        <v>32250000</v>
      </c>
      <c r="F10" s="7">
        <v>42750000</v>
      </c>
      <c r="G10" s="7">
        <v>20250000</v>
      </c>
      <c r="H10" s="7">
        <v>30000000</v>
      </c>
      <c r="I10" s="7">
        <v>9750000</v>
      </c>
      <c r="J10" s="8">
        <v>15000000</v>
      </c>
    </row>
    <row r="11" spans="1:10" x14ac:dyDescent="0.35">
      <c r="A11" s="5">
        <v>4</v>
      </c>
      <c r="B11" s="6" t="s">
        <v>15</v>
      </c>
      <c r="C11" s="6" t="s">
        <v>14</v>
      </c>
      <c r="D11" s="7">
        <v>33500000</v>
      </c>
      <c r="E11" s="7">
        <v>13735000</v>
      </c>
      <c r="F11" s="7">
        <v>19765000</v>
      </c>
      <c r="G11" s="7">
        <v>10385000</v>
      </c>
      <c r="H11" s="7">
        <v>13735000</v>
      </c>
      <c r="I11" s="7">
        <v>3350000</v>
      </c>
      <c r="J11" s="8">
        <v>6030000</v>
      </c>
    </row>
    <row r="12" spans="1:10" x14ac:dyDescent="0.35">
      <c r="A12" s="5">
        <v>5</v>
      </c>
      <c r="B12" s="6" t="s">
        <v>16</v>
      </c>
      <c r="C12" s="6" t="s">
        <v>14</v>
      </c>
      <c r="D12" s="7">
        <v>31000000</v>
      </c>
      <c r="E12" s="7">
        <v>13640000</v>
      </c>
      <c r="F12" s="7">
        <v>17360000</v>
      </c>
      <c r="G12" s="7">
        <v>8680000</v>
      </c>
      <c r="H12" s="7">
        <v>10230000</v>
      </c>
      <c r="I12" s="7">
        <v>6510000</v>
      </c>
      <c r="J12" s="8">
        <v>5890000</v>
      </c>
    </row>
    <row r="13" spans="1:10" x14ac:dyDescent="0.35">
      <c r="A13" s="5">
        <v>6</v>
      </c>
      <c r="B13" s="6" t="s">
        <v>17</v>
      </c>
      <c r="C13" s="6" t="s">
        <v>18</v>
      </c>
      <c r="D13" s="7">
        <v>18900000</v>
      </c>
      <c r="E13" s="7">
        <v>9639000</v>
      </c>
      <c r="F13" s="7">
        <v>9261000</v>
      </c>
      <c r="G13" s="7">
        <v>5670000</v>
      </c>
      <c r="H13" s="7">
        <v>7560000</v>
      </c>
      <c r="I13" s="7">
        <v>2457000</v>
      </c>
      <c r="J13" s="8">
        <v>3213000</v>
      </c>
    </row>
    <row r="14" spans="1:10" x14ac:dyDescent="0.35">
      <c r="A14" s="5">
        <v>7</v>
      </c>
      <c r="B14" s="6" t="s">
        <v>19</v>
      </c>
      <c r="C14" s="6" t="s">
        <v>20</v>
      </c>
      <c r="D14" s="7">
        <v>65300000</v>
      </c>
      <c r="E14" s="7">
        <v>38527000</v>
      </c>
      <c r="F14" s="7">
        <v>26773000</v>
      </c>
      <c r="G14" s="7">
        <v>13713000</v>
      </c>
      <c r="H14" s="7">
        <v>24161000</v>
      </c>
      <c r="I14" s="7">
        <v>9142000</v>
      </c>
      <c r="J14" s="8">
        <v>22855000</v>
      </c>
    </row>
    <row r="15" spans="1:10" x14ac:dyDescent="0.35">
      <c r="A15" s="5">
        <v>8</v>
      </c>
      <c r="B15" s="6" t="s">
        <v>21</v>
      </c>
      <c r="C15" s="6" t="s">
        <v>20</v>
      </c>
      <c r="D15" s="7">
        <v>52000000</v>
      </c>
      <c r="E15" s="7">
        <v>31720000</v>
      </c>
      <c r="F15" s="7">
        <v>20280000</v>
      </c>
      <c r="G15" s="7">
        <v>17160000</v>
      </c>
      <c r="H15" s="7">
        <v>19760000</v>
      </c>
      <c r="I15" s="7">
        <v>8320000</v>
      </c>
      <c r="J15" s="8">
        <v>6240000</v>
      </c>
    </row>
    <row r="16" spans="1:10" x14ac:dyDescent="0.35">
      <c r="A16" s="5">
        <v>9</v>
      </c>
      <c r="B16" s="6" t="s">
        <v>22</v>
      </c>
      <c r="C16" s="6" t="s">
        <v>18</v>
      </c>
      <c r="D16" s="7">
        <v>27400000</v>
      </c>
      <c r="E16" s="7">
        <v>12330000</v>
      </c>
      <c r="F16" s="7">
        <v>15070000</v>
      </c>
      <c r="G16" s="7">
        <v>8494000</v>
      </c>
      <c r="H16" s="7">
        <v>10960000</v>
      </c>
      <c r="I16" s="7">
        <v>2192000</v>
      </c>
      <c r="J16" s="8">
        <v>5754000</v>
      </c>
    </row>
    <row r="17" spans="1:10" x14ac:dyDescent="0.35">
      <c r="A17" s="5">
        <v>10</v>
      </c>
      <c r="B17" s="6" t="s">
        <v>23</v>
      </c>
      <c r="C17" s="6" t="s">
        <v>14</v>
      </c>
      <c r="D17" s="7">
        <v>22400000</v>
      </c>
      <c r="E17" s="7">
        <v>13440000</v>
      </c>
      <c r="F17" s="7">
        <v>8960000</v>
      </c>
      <c r="G17" s="7">
        <v>4928000</v>
      </c>
      <c r="H17" s="7">
        <v>8736000</v>
      </c>
      <c r="I17" s="7">
        <v>3360000</v>
      </c>
      <c r="J17" s="8">
        <v>5376000</v>
      </c>
    </row>
    <row r="18" spans="1:10" x14ac:dyDescent="0.35">
      <c r="A18" s="5">
        <v>11</v>
      </c>
      <c r="B18" s="6" t="s">
        <v>24</v>
      </c>
      <c r="C18" s="6" t="s">
        <v>11</v>
      </c>
      <c r="D18" s="7">
        <v>21000000</v>
      </c>
      <c r="E18" s="7">
        <v>10290000</v>
      </c>
      <c r="F18" s="7">
        <v>10710000</v>
      </c>
      <c r="G18" s="7">
        <v>7140000</v>
      </c>
      <c r="H18" s="7">
        <v>7770000</v>
      </c>
      <c r="I18" s="7">
        <v>2310000</v>
      </c>
      <c r="J18" s="8">
        <v>3570000</v>
      </c>
    </row>
    <row r="19" spans="1:10" x14ac:dyDescent="0.35">
      <c r="A19" s="5">
        <v>12</v>
      </c>
      <c r="B19" s="6" t="s">
        <v>25</v>
      </c>
      <c r="C19" s="6" t="s">
        <v>18</v>
      </c>
      <c r="D19" s="7">
        <v>23000000</v>
      </c>
      <c r="E19" s="7">
        <v>13800000</v>
      </c>
      <c r="F19" s="7">
        <v>9200000</v>
      </c>
      <c r="G19" s="7">
        <v>7360000</v>
      </c>
      <c r="H19" s="7">
        <v>8050000</v>
      </c>
      <c r="I19" s="7">
        <v>2990000</v>
      </c>
      <c r="J19" s="8">
        <v>4600000</v>
      </c>
    </row>
    <row r="20" spans="1:10" x14ac:dyDescent="0.35">
      <c r="A20" s="5">
        <v>13</v>
      </c>
      <c r="B20" s="6" t="s">
        <v>26</v>
      </c>
      <c r="C20" s="6" t="s">
        <v>18</v>
      </c>
      <c r="D20" s="7">
        <v>32500000</v>
      </c>
      <c r="E20" s="7">
        <v>16900000</v>
      </c>
      <c r="F20" s="7">
        <v>15600000</v>
      </c>
      <c r="G20" s="7">
        <v>6175000</v>
      </c>
      <c r="H20" s="7">
        <v>13000000</v>
      </c>
      <c r="I20" s="7">
        <v>5850000</v>
      </c>
      <c r="J20" s="8">
        <v>8775000</v>
      </c>
    </row>
    <row r="21" spans="1:10" x14ac:dyDescent="0.35">
      <c r="A21" s="5">
        <v>14</v>
      </c>
      <c r="B21" s="6" t="s">
        <v>27</v>
      </c>
      <c r="C21" s="6" t="s">
        <v>14</v>
      </c>
      <c r="D21" s="7">
        <v>21400000</v>
      </c>
      <c r="E21" s="7">
        <v>10593000</v>
      </c>
      <c r="F21" s="7">
        <v>10807000</v>
      </c>
      <c r="G21" s="7">
        <v>3638000</v>
      </c>
      <c r="H21" s="7">
        <v>7490000</v>
      </c>
      <c r="I21" s="7">
        <v>4280000</v>
      </c>
      <c r="J21" s="8">
        <v>5992000</v>
      </c>
    </row>
    <row r="22" spans="1:10" x14ac:dyDescent="0.35">
      <c r="A22" s="5">
        <v>15</v>
      </c>
      <c r="B22" s="6" t="s">
        <v>28</v>
      </c>
      <c r="C22" s="6" t="s">
        <v>14</v>
      </c>
      <c r="D22" s="7">
        <v>26300000</v>
      </c>
      <c r="E22" s="7">
        <v>16569000</v>
      </c>
      <c r="F22" s="7">
        <v>9731000</v>
      </c>
      <c r="G22" s="7">
        <v>5523000</v>
      </c>
      <c r="H22" s="7">
        <v>8416000</v>
      </c>
      <c r="I22" s="7">
        <v>6838000</v>
      </c>
      <c r="J22" s="8">
        <v>5523000</v>
      </c>
    </row>
    <row r="23" spans="1:10" x14ac:dyDescent="0.35">
      <c r="A23" s="5">
        <v>16</v>
      </c>
      <c r="B23" s="6" t="s">
        <v>29</v>
      </c>
      <c r="C23" s="6" t="s">
        <v>30</v>
      </c>
      <c r="D23" s="7">
        <v>21000000</v>
      </c>
      <c r="E23" s="7">
        <v>13020000</v>
      </c>
      <c r="F23" s="7">
        <v>7980000</v>
      </c>
      <c r="G23" s="7">
        <v>5250000</v>
      </c>
      <c r="H23" s="7">
        <v>6300000</v>
      </c>
      <c r="I23" s="7">
        <v>5250000</v>
      </c>
      <c r="J23" s="8">
        <v>4200000</v>
      </c>
    </row>
    <row r="24" spans="1:10" x14ac:dyDescent="0.35">
      <c r="A24" s="5">
        <v>17</v>
      </c>
      <c r="B24" s="6" t="s">
        <v>31</v>
      </c>
      <c r="C24" s="6" t="s">
        <v>30</v>
      </c>
      <c r="D24" s="7">
        <v>67400000</v>
      </c>
      <c r="E24" s="7">
        <v>34374000</v>
      </c>
      <c r="F24" s="7">
        <v>33026000</v>
      </c>
      <c r="G24" s="7">
        <v>19546000</v>
      </c>
      <c r="H24" s="7">
        <v>22242000</v>
      </c>
      <c r="I24" s="7">
        <v>11458000</v>
      </c>
      <c r="J24" s="8">
        <v>14154000</v>
      </c>
    </row>
    <row r="25" spans="1:10" x14ac:dyDescent="0.35">
      <c r="A25" s="5">
        <v>18</v>
      </c>
      <c r="B25" s="6" t="s">
        <v>32</v>
      </c>
      <c r="C25" s="6" t="s">
        <v>11</v>
      </c>
      <c r="D25" s="7">
        <v>18000000</v>
      </c>
      <c r="E25" s="7">
        <v>8280000</v>
      </c>
      <c r="F25" s="7">
        <v>9720000</v>
      </c>
      <c r="G25" s="7">
        <v>3240000</v>
      </c>
      <c r="H25" s="7">
        <v>5580000</v>
      </c>
      <c r="I25" s="7">
        <v>4500000</v>
      </c>
      <c r="J25" s="8">
        <v>4680000</v>
      </c>
    </row>
    <row r="26" spans="1:10" x14ac:dyDescent="0.35">
      <c r="A26" s="5">
        <v>19</v>
      </c>
      <c r="B26" s="6" t="s">
        <v>33</v>
      </c>
      <c r="C26" s="6" t="s">
        <v>30</v>
      </c>
      <c r="D26" s="7">
        <v>18200000</v>
      </c>
      <c r="E26" s="7">
        <v>9646000</v>
      </c>
      <c r="F26" s="7">
        <v>8554000</v>
      </c>
      <c r="G26" s="7">
        <v>3094000</v>
      </c>
      <c r="H26" s="7">
        <v>5642000</v>
      </c>
      <c r="I26" s="7">
        <v>4004000</v>
      </c>
      <c r="J26" s="8">
        <v>5460000</v>
      </c>
    </row>
    <row r="27" spans="1:10" x14ac:dyDescent="0.35">
      <c r="A27" s="9">
        <v>20</v>
      </c>
      <c r="B27" s="10" t="s">
        <v>34</v>
      </c>
      <c r="C27" s="10" t="s">
        <v>30</v>
      </c>
      <c r="D27" s="11">
        <v>20100000</v>
      </c>
      <c r="E27" s="11">
        <v>11457000</v>
      </c>
      <c r="F27" s="11">
        <v>8643000</v>
      </c>
      <c r="G27" s="11">
        <v>4422000</v>
      </c>
      <c r="H27" s="11">
        <v>6633000</v>
      </c>
      <c r="I27" s="11">
        <v>4020000</v>
      </c>
      <c r="J27" s="12">
        <v>5025000</v>
      </c>
    </row>
    <row r="28" spans="1:10" ht="8.25" customHeight="1" x14ac:dyDescent="0.35">
      <c r="A28" s="13"/>
      <c r="B28" s="13"/>
      <c r="C28" s="13"/>
    </row>
    <row r="29" spans="1:10" hidden="1" x14ac:dyDescent="0.35"/>
  </sheetData>
  <mergeCells count="1">
    <mergeCell ref="A1:J5"/>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33E03-2E95-4E00-9B70-2B869D3DCCDB}">
  <dimension ref="A1:E24"/>
  <sheetViews>
    <sheetView tabSelected="1" workbookViewId="0">
      <selection activeCell="J1" sqref="J1:J1048576"/>
    </sheetView>
  </sheetViews>
  <sheetFormatPr defaultRowHeight="14.5" x14ac:dyDescent="0.35"/>
  <cols>
    <col min="1" max="1" width="10.90625" bestFit="1" customWidth="1"/>
    <col min="2" max="2" width="12.08984375" bestFit="1" customWidth="1"/>
    <col min="3" max="3" width="14.1796875" bestFit="1" customWidth="1"/>
    <col min="4" max="4" width="14" bestFit="1" customWidth="1"/>
    <col min="5" max="5" width="17.26953125" bestFit="1" customWidth="1"/>
  </cols>
  <sheetData>
    <row r="1" spans="1:5" x14ac:dyDescent="0.35">
      <c r="A1" s="15" t="s">
        <v>2</v>
      </c>
      <c r="B1" s="1" t="s">
        <v>40</v>
      </c>
    </row>
    <row r="3" spans="1:5" x14ac:dyDescent="0.35">
      <c r="A3" s="15" t="s">
        <v>41</v>
      </c>
      <c r="B3" s="1" t="s">
        <v>38</v>
      </c>
      <c r="C3" s="1" t="s">
        <v>39</v>
      </c>
      <c r="D3" s="1" t="s">
        <v>37</v>
      </c>
      <c r="E3" s="1" t="s">
        <v>36</v>
      </c>
    </row>
    <row r="4" spans="1:5" x14ac:dyDescent="0.35">
      <c r="A4" s="16" t="s">
        <v>12</v>
      </c>
      <c r="B4" s="17">
        <v>10988000</v>
      </c>
      <c r="C4" s="17">
        <v>4680000</v>
      </c>
      <c r="D4" s="17">
        <v>12402000</v>
      </c>
      <c r="E4" s="17">
        <v>23400000</v>
      </c>
    </row>
    <row r="5" spans="1:5" x14ac:dyDescent="0.35">
      <c r="A5" s="16" t="s">
        <v>32</v>
      </c>
      <c r="B5" s="17">
        <v>8280000</v>
      </c>
      <c r="C5" s="17">
        <v>4680000</v>
      </c>
      <c r="D5" s="17">
        <v>9720000</v>
      </c>
      <c r="E5" s="17">
        <v>18000000</v>
      </c>
    </row>
    <row r="6" spans="1:5" x14ac:dyDescent="0.35">
      <c r="A6" s="16" t="s">
        <v>10</v>
      </c>
      <c r="B6" s="17">
        <v>24750000</v>
      </c>
      <c r="C6" s="17">
        <v>3600000</v>
      </c>
      <c r="D6" s="17">
        <v>20250000</v>
      </c>
      <c r="E6" s="17">
        <v>45000000</v>
      </c>
    </row>
    <row r="7" spans="1:5" x14ac:dyDescent="0.35">
      <c r="A7" s="16" t="s">
        <v>29</v>
      </c>
      <c r="B7" s="17">
        <v>13020000</v>
      </c>
      <c r="C7" s="17">
        <v>4200000</v>
      </c>
      <c r="D7" s="17">
        <v>7980000</v>
      </c>
      <c r="E7" s="17">
        <v>21000000</v>
      </c>
    </row>
    <row r="8" spans="1:5" x14ac:dyDescent="0.35">
      <c r="A8" s="16" t="s">
        <v>19</v>
      </c>
      <c r="B8" s="17">
        <v>38527000</v>
      </c>
      <c r="C8" s="17">
        <v>22855000</v>
      </c>
      <c r="D8" s="17">
        <v>26773000</v>
      </c>
      <c r="E8" s="17">
        <v>65300000</v>
      </c>
    </row>
    <row r="9" spans="1:5" x14ac:dyDescent="0.35">
      <c r="A9" s="16" t="s">
        <v>24</v>
      </c>
      <c r="B9" s="17">
        <v>10290000</v>
      </c>
      <c r="C9" s="17">
        <v>3570000</v>
      </c>
      <c r="D9" s="17">
        <v>10710000</v>
      </c>
      <c r="E9" s="17">
        <v>21000000</v>
      </c>
    </row>
    <row r="10" spans="1:5" x14ac:dyDescent="0.35">
      <c r="A10" s="16" t="s">
        <v>34</v>
      </c>
      <c r="B10" s="17">
        <v>11457000</v>
      </c>
      <c r="C10" s="17">
        <v>5025000</v>
      </c>
      <c r="D10" s="17">
        <v>8643000</v>
      </c>
      <c r="E10" s="17">
        <v>20100000</v>
      </c>
    </row>
    <row r="11" spans="1:5" x14ac:dyDescent="0.35">
      <c r="A11" s="16" t="s">
        <v>33</v>
      </c>
      <c r="B11" s="17">
        <v>9646000</v>
      </c>
      <c r="C11" s="17">
        <v>5460000</v>
      </c>
      <c r="D11" s="17">
        <v>8554000</v>
      </c>
      <c r="E11" s="17">
        <v>18200000</v>
      </c>
    </row>
    <row r="12" spans="1:5" x14ac:dyDescent="0.35">
      <c r="A12" s="16" t="s">
        <v>28</v>
      </c>
      <c r="B12" s="17">
        <v>16569000</v>
      </c>
      <c r="C12" s="17">
        <v>5523000</v>
      </c>
      <c r="D12" s="17">
        <v>9731000</v>
      </c>
      <c r="E12" s="17">
        <v>26300000</v>
      </c>
    </row>
    <row r="13" spans="1:5" x14ac:dyDescent="0.35">
      <c r="A13" s="16" t="s">
        <v>25</v>
      </c>
      <c r="B13" s="17">
        <v>13800000</v>
      </c>
      <c r="C13" s="17">
        <v>4600000</v>
      </c>
      <c r="D13" s="17">
        <v>9200000</v>
      </c>
      <c r="E13" s="17">
        <v>23000000</v>
      </c>
    </row>
    <row r="14" spans="1:5" x14ac:dyDescent="0.35">
      <c r="A14" s="16" t="s">
        <v>26</v>
      </c>
      <c r="B14" s="17">
        <v>16900000</v>
      </c>
      <c r="C14" s="17">
        <v>8775000</v>
      </c>
      <c r="D14" s="17">
        <v>15600000</v>
      </c>
      <c r="E14" s="17">
        <v>32500000</v>
      </c>
    </row>
    <row r="15" spans="1:5" x14ac:dyDescent="0.35">
      <c r="A15" s="16" t="s">
        <v>22</v>
      </c>
      <c r="B15" s="17">
        <v>12330000</v>
      </c>
      <c r="C15" s="17">
        <v>5754000</v>
      </c>
      <c r="D15" s="17">
        <v>15070000</v>
      </c>
      <c r="E15" s="17">
        <v>27400000</v>
      </c>
    </row>
    <row r="16" spans="1:5" x14ac:dyDescent="0.35">
      <c r="A16" s="16" t="s">
        <v>15</v>
      </c>
      <c r="B16" s="17">
        <v>13735000</v>
      </c>
      <c r="C16" s="17">
        <v>6030000</v>
      </c>
      <c r="D16" s="17">
        <v>19765000</v>
      </c>
      <c r="E16" s="17">
        <v>33500000</v>
      </c>
    </row>
    <row r="17" spans="1:5" x14ac:dyDescent="0.35">
      <c r="A17" s="16" t="s">
        <v>17</v>
      </c>
      <c r="B17" s="17">
        <v>9639000</v>
      </c>
      <c r="C17" s="17">
        <v>3213000</v>
      </c>
      <c r="D17" s="17">
        <v>9261000</v>
      </c>
      <c r="E17" s="17">
        <v>18900000</v>
      </c>
    </row>
    <row r="18" spans="1:5" x14ac:dyDescent="0.35">
      <c r="A18" s="16" t="s">
        <v>21</v>
      </c>
      <c r="B18" s="17">
        <v>31720000</v>
      </c>
      <c r="C18" s="17">
        <v>6240000</v>
      </c>
      <c r="D18" s="17">
        <v>20280000</v>
      </c>
      <c r="E18" s="17">
        <v>52000000</v>
      </c>
    </row>
    <row r="19" spans="1:5" x14ac:dyDescent="0.35">
      <c r="A19" s="16" t="s">
        <v>23</v>
      </c>
      <c r="B19" s="17">
        <v>13440000</v>
      </c>
      <c r="C19" s="17">
        <v>5376000</v>
      </c>
      <c r="D19" s="17">
        <v>8960000</v>
      </c>
      <c r="E19" s="17">
        <v>22400000</v>
      </c>
    </row>
    <row r="20" spans="1:5" x14ac:dyDescent="0.35">
      <c r="A20" s="16" t="s">
        <v>27</v>
      </c>
      <c r="B20" s="17">
        <v>10593000</v>
      </c>
      <c r="C20" s="17">
        <v>5992000</v>
      </c>
      <c r="D20" s="17">
        <v>10807000</v>
      </c>
      <c r="E20" s="17">
        <v>21400000</v>
      </c>
    </row>
    <row r="21" spans="1:5" x14ac:dyDescent="0.35">
      <c r="A21" s="16" t="s">
        <v>13</v>
      </c>
      <c r="B21" s="17">
        <v>32250000</v>
      </c>
      <c r="C21" s="17">
        <v>15000000</v>
      </c>
      <c r="D21" s="17">
        <v>42750000</v>
      </c>
      <c r="E21" s="17">
        <v>75000000</v>
      </c>
    </row>
    <row r="22" spans="1:5" x14ac:dyDescent="0.35">
      <c r="A22" s="16" t="s">
        <v>16</v>
      </c>
      <c r="B22" s="17">
        <v>13640000</v>
      </c>
      <c r="C22" s="17">
        <v>5890000</v>
      </c>
      <c r="D22" s="17">
        <v>17360000</v>
      </c>
      <c r="E22" s="17">
        <v>31000000</v>
      </c>
    </row>
    <row r="23" spans="1:5" x14ac:dyDescent="0.35">
      <c r="A23" s="16" t="s">
        <v>31</v>
      </c>
      <c r="B23" s="17">
        <v>34374000</v>
      </c>
      <c r="C23" s="17">
        <v>14154000</v>
      </c>
      <c r="D23" s="17">
        <v>33026000</v>
      </c>
      <c r="E23" s="17">
        <v>67400000</v>
      </c>
    </row>
    <row r="24" spans="1:5" x14ac:dyDescent="0.35">
      <c r="A24" s="16" t="s">
        <v>35</v>
      </c>
      <c r="B24" s="17">
        <v>345948000</v>
      </c>
      <c r="C24" s="17">
        <v>140617000</v>
      </c>
      <c r="D24" s="17">
        <v>316842000</v>
      </c>
      <c r="E24" s="17">
        <v>662800000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3CFE3-E477-4B8B-B696-D5AE73EB7E9B}">
  <dimension ref="A1"/>
  <sheetViews>
    <sheetView workbookViewId="0">
      <selection activeCell="S27" sqref="S2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Population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ezinne anthony</dc:creator>
  <cp:lastModifiedBy>ezinne anthony</cp:lastModifiedBy>
  <dcterms:created xsi:type="dcterms:W3CDTF">2026-08-01T08:18:28Z</dcterms:created>
  <dcterms:modified xsi:type="dcterms:W3CDTF">2026-10-22T15:46:06Z</dcterms:modified>
</cp:coreProperties>
</file>